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shan\Desktop\Agistin\HydProd_Rev03\Envelops_wws\"/>
    </mc:Choice>
  </mc:AlternateContent>
  <xr:revisionPtr revIDLastSave="0" documentId="13_ncr:1_{F492A6D2-A474-4A55-B35F-E03E9EC31B70}" xr6:coauthVersionLast="47" xr6:coauthVersionMax="47" xr10:uidLastSave="{00000000-0000-0000-0000-000000000000}"/>
  <bookViews>
    <workbookView xWindow="-98" yWindow="-98" windowWidth="21795" windowHeight="12975" tabRatio="464" xr2:uid="{00000000-000D-0000-FFFF-FFFF00000000}"/>
  </bookViews>
  <sheets>
    <sheet name="Second Order V3" sheetId="10" r:id="rId1"/>
    <sheet name="csv_second_order" sheetId="6" r:id="rId2"/>
  </sheets>
  <definedNames>
    <definedName name="DeltaThetaDeg">'Second Order V3'!$S$5</definedName>
    <definedName name="EMT_simulation">'Second Order V3'!$M$1</definedName>
    <definedName name="Marge_basse">'Second Order V3'!$S$18</definedName>
    <definedName name="Marge_haute">'Second Order V3'!$S$17</definedName>
    <definedName name="Num">'Second Order V3'!$W$8</definedName>
    <definedName name="P0">'Second Order V3'!$S$6</definedName>
    <definedName name="Ppeak">'Second Order V3'!$W$15</definedName>
    <definedName name="SCR">'Second Order V3'!$S$7</definedName>
    <definedName name="Sigma">'Second Order V3'!$W$10</definedName>
    <definedName name="Tunnel">'Second Order V3'!$W$13</definedName>
    <definedName name="Wd">'Second Order V3'!$W$5</definedName>
    <definedName name="Wdmax">'Second Order V3'!$Y$5</definedName>
    <definedName name="Wdmin">'Second Order V3'!$X$5</definedName>
    <definedName name="Wn">'Second Order V3'!$W$12</definedName>
    <definedName name="Wnmax">'Second Order V3'!$Y$12</definedName>
    <definedName name="Wnmin">'Second Order V3'!$X$12</definedName>
    <definedName name="Xi">'Second Order V3'!$W$6</definedName>
    <definedName name="Ximax">'Second Order V3'!$Y$6</definedName>
    <definedName name="Ximin">'Second Order V3'!$X$6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5" i="6" l="1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Q1495" i="10"/>
  <c r="P1495" i="10"/>
  <c r="Q1494" i="10"/>
  <c r="P1494" i="10"/>
  <c r="Q1493" i="10"/>
  <c r="P1493" i="10"/>
  <c r="Q1492" i="10"/>
  <c r="P1492" i="10"/>
  <c r="Q1491" i="10"/>
  <c r="P1491" i="10"/>
  <c r="Q1490" i="10"/>
  <c r="P1490" i="10"/>
  <c r="Q1489" i="10"/>
  <c r="P1489" i="10"/>
  <c r="Q1488" i="10"/>
  <c r="P1488" i="10"/>
  <c r="Q1487" i="10"/>
  <c r="P1487" i="10"/>
  <c r="Q1486" i="10"/>
  <c r="P1486" i="10"/>
  <c r="Q1485" i="10"/>
  <c r="P1485" i="10"/>
  <c r="Q1484" i="10"/>
  <c r="P1484" i="10"/>
  <c r="Q1483" i="10"/>
  <c r="P1483" i="10"/>
  <c r="Q1482" i="10"/>
  <c r="P1482" i="10"/>
  <c r="Q1481" i="10"/>
  <c r="P1481" i="10"/>
  <c r="Q1480" i="10"/>
  <c r="P1480" i="10"/>
  <c r="Q1479" i="10"/>
  <c r="P1479" i="10"/>
  <c r="Q1478" i="10"/>
  <c r="P1478" i="10"/>
  <c r="Q1477" i="10"/>
  <c r="P1477" i="10"/>
  <c r="Q1476" i="10"/>
  <c r="P1476" i="10"/>
  <c r="Q1475" i="10"/>
  <c r="P1475" i="10"/>
  <c r="Q1474" i="10"/>
  <c r="P1474" i="10"/>
  <c r="Q1473" i="10"/>
  <c r="P1473" i="10"/>
  <c r="Q1472" i="10"/>
  <c r="P1472" i="10"/>
  <c r="Q1471" i="10"/>
  <c r="P1471" i="10"/>
  <c r="Q1470" i="10"/>
  <c r="P1470" i="10"/>
  <c r="Q1469" i="10"/>
  <c r="P1469" i="10"/>
  <c r="Q1468" i="10"/>
  <c r="P1468" i="10"/>
  <c r="Q1467" i="10"/>
  <c r="P1467" i="10"/>
  <c r="Q1466" i="10"/>
  <c r="P1466" i="10"/>
  <c r="Q1465" i="10"/>
  <c r="P1465" i="10"/>
  <c r="Q1464" i="10"/>
  <c r="P1464" i="10"/>
  <c r="Q1463" i="10"/>
  <c r="P1463" i="10"/>
  <c r="Q1462" i="10"/>
  <c r="P1462" i="10"/>
  <c r="Q1461" i="10"/>
  <c r="P1461" i="10"/>
  <c r="Q1460" i="10"/>
  <c r="P1460" i="10"/>
  <c r="Q1459" i="10"/>
  <c r="P1459" i="10"/>
  <c r="Q1458" i="10"/>
  <c r="P1458" i="10"/>
  <c r="Q1457" i="10"/>
  <c r="P1457" i="10"/>
  <c r="Q1456" i="10"/>
  <c r="P1456" i="10"/>
  <c r="Q1455" i="10"/>
  <c r="P1455" i="10"/>
  <c r="Q1454" i="10"/>
  <c r="P1454" i="10"/>
  <c r="Q1453" i="10"/>
  <c r="P1453" i="10"/>
  <c r="Q1452" i="10"/>
  <c r="P1452" i="10"/>
  <c r="Q1451" i="10"/>
  <c r="P1451" i="10"/>
  <c r="Q1450" i="10"/>
  <c r="P1450" i="10"/>
  <c r="Q1449" i="10"/>
  <c r="P1449" i="10"/>
  <c r="Q1448" i="10"/>
  <c r="P1448" i="10"/>
  <c r="Q1447" i="10"/>
  <c r="P1447" i="10"/>
  <c r="Q1446" i="10"/>
  <c r="P1446" i="10"/>
  <c r="Q1445" i="10"/>
  <c r="P1445" i="10"/>
  <c r="Q1444" i="10"/>
  <c r="P1444" i="10"/>
  <c r="Q1443" i="10"/>
  <c r="P1443" i="10"/>
  <c r="Q1442" i="10"/>
  <c r="P1442" i="10"/>
  <c r="Q1441" i="10"/>
  <c r="P1441" i="10"/>
  <c r="Q1440" i="10"/>
  <c r="P1440" i="10"/>
  <c r="Q1439" i="10"/>
  <c r="P1439" i="10"/>
  <c r="Q1438" i="10"/>
  <c r="P1438" i="10"/>
  <c r="Q1437" i="10"/>
  <c r="P1437" i="10"/>
  <c r="Q1436" i="10"/>
  <c r="P1436" i="10"/>
  <c r="Q1435" i="10"/>
  <c r="P1435" i="10"/>
  <c r="Q1434" i="10"/>
  <c r="P1434" i="10"/>
  <c r="Q1433" i="10"/>
  <c r="P1433" i="10"/>
  <c r="Q1432" i="10"/>
  <c r="P1432" i="10"/>
  <c r="Q1431" i="10"/>
  <c r="P1431" i="10"/>
  <c r="Q1430" i="10"/>
  <c r="P1430" i="10"/>
  <c r="Q1429" i="10"/>
  <c r="P1429" i="10"/>
  <c r="Q1428" i="10"/>
  <c r="P1428" i="10"/>
  <c r="Q1427" i="10"/>
  <c r="P1427" i="10"/>
  <c r="Q1426" i="10"/>
  <c r="P1426" i="10"/>
  <c r="Q1425" i="10"/>
  <c r="P1425" i="10"/>
  <c r="Q1424" i="10"/>
  <c r="P1424" i="10"/>
  <c r="Q1423" i="10"/>
  <c r="P1423" i="10"/>
  <c r="Q1422" i="10"/>
  <c r="P1422" i="10"/>
  <c r="Q1421" i="10"/>
  <c r="P1421" i="10"/>
  <c r="Q1420" i="10"/>
  <c r="P1420" i="10"/>
  <c r="Q1419" i="10"/>
  <c r="P1419" i="10"/>
  <c r="Q1418" i="10"/>
  <c r="P1418" i="10"/>
  <c r="Q1417" i="10"/>
  <c r="P1417" i="10"/>
  <c r="Q1416" i="10"/>
  <c r="P1416" i="10"/>
  <c r="Q1415" i="10"/>
  <c r="P1415" i="10"/>
  <c r="Q1414" i="10"/>
  <c r="P1414" i="10"/>
  <c r="Q1413" i="10"/>
  <c r="P1413" i="10"/>
  <c r="Q1412" i="10"/>
  <c r="P1412" i="10"/>
  <c r="Q1411" i="10"/>
  <c r="P1411" i="10"/>
  <c r="Q1410" i="10"/>
  <c r="P1410" i="10"/>
  <c r="Q1409" i="10"/>
  <c r="P1409" i="10"/>
  <c r="Q1408" i="10"/>
  <c r="P1408" i="10"/>
  <c r="Q1407" i="10"/>
  <c r="P1407" i="10"/>
  <c r="Q1406" i="10"/>
  <c r="P1406" i="10"/>
  <c r="Q1405" i="10"/>
  <c r="P1405" i="10"/>
  <c r="Q1404" i="10"/>
  <c r="P1404" i="10"/>
  <c r="Q1403" i="10"/>
  <c r="P1403" i="10"/>
  <c r="Q1402" i="10"/>
  <c r="P1402" i="10"/>
  <c r="Q1401" i="10"/>
  <c r="P1401" i="10"/>
  <c r="Q1400" i="10"/>
  <c r="P1400" i="10"/>
  <c r="Q1399" i="10"/>
  <c r="P1399" i="10"/>
  <c r="Q1398" i="10"/>
  <c r="P1398" i="10"/>
  <c r="Q1397" i="10"/>
  <c r="P1397" i="10"/>
  <c r="Q1396" i="10"/>
  <c r="P1396" i="10"/>
  <c r="Q1395" i="10"/>
  <c r="P1395" i="10"/>
  <c r="Q1394" i="10"/>
  <c r="P1394" i="10"/>
  <c r="Q1393" i="10"/>
  <c r="P1393" i="10"/>
  <c r="Q1392" i="10"/>
  <c r="P1392" i="10"/>
  <c r="Q1391" i="10"/>
  <c r="P1391" i="10"/>
  <c r="Q1390" i="10"/>
  <c r="P1390" i="10"/>
  <c r="Q1389" i="10"/>
  <c r="P1389" i="10"/>
  <c r="Q1388" i="10"/>
  <c r="P1388" i="10"/>
  <c r="Q1387" i="10"/>
  <c r="P1387" i="10"/>
  <c r="Q1386" i="10"/>
  <c r="P1386" i="10"/>
  <c r="Q1385" i="10"/>
  <c r="P1385" i="10"/>
  <c r="Q1384" i="10"/>
  <c r="P1384" i="10"/>
  <c r="Q1383" i="10"/>
  <c r="P1383" i="10"/>
  <c r="Q1382" i="10"/>
  <c r="P1382" i="10"/>
  <c r="Q1381" i="10"/>
  <c r="P1381" i="10"/>
  <c r="Q1380" i="10"/>
  <c r="P1380" i="10"/>
  <c r="Q1379" i="10"/>
  <c r="P1379" i="10"/>
  <c r="Q1378" i="10"/>
  <c r="P1378" i="10"/>
  <c r="Q1377" i="10"/>
  <c r="P1377" i="10"/>
  <c r="Q1376" i="10"/>
  <c r="P1376" i="10"/>
  <c r="Q1375" i="10"/>
  <c r="P1375" i="10"/>
  <c r="Q1374" i="10"/>
  <c r="P1374" i="10"/>
  <c r="Q1373" i="10"/>
  <c r="P1373" i="10"/>
  <c r="Q1372" i="10"/>
  <c r="P1372" i="10"/>
  <c r="Q1371" i="10"/>
  <c r="P1371" i="10"/>
  <c r="Q1370" i="10"/>
  <c r="P1370" i="10"/>
  <c r="Q1369" i="10"/>
  <c r="P1369" i="10"/>
  <c r="Q1368" i="10"/>
  <c r="P1368" i="10"/>
  <c r="Q1367" i="10"/>
  <c r="P1367" i="10"/>
  <c r="Q1366" i="10"/>
  <c r="P1366" i="10"/>
  <c r="Q1365" i="10"/>
  <c r="P1365" i="10"/>
  <c r="Q1364" i="10"/>
  <c r="P1364" i="10"/>
  <c r="Q1363" i="10"/>
  <c r="P1363" i="10"/>
  <c r="Q1362" i="10"/>
  <c r="P1362" i="10"/>
  <c r="Q1361" i="10"/>
  <c r="P1361" i="10"/>
  <c r="Q1360" i="10"/>
  <c r="P1360" i="10"/>
  <c r="Q1359" i="10"/>
  <c r="P1359" i="10"/>
  <c r="Q1358" i="10"/>
  <c r="P1358" i="10"/>
  <c r="Q1357" i="10"/>
  <c r="P1357" i="10"/>
  <c r="Q1356" i="10"/>
  <c r="P1356" i="10"/>
  <c r="Q1355" i="10"/>
  <c r="P1355" i="10"/>
  <c r="Q1354" i="10"/>
  <c r="P1354" i="10"/>
  <c r="Q1353" i="10"/>
  <c r="P1353" i="10"/>
  <c r="Q1352" i="10"/>
  <c r="P1352" i="10"/>
  <c r="Q1351" i="10"/>
  <c r="P1351" i="10"/>
  <c r="Q1350" i="10"/>
  <c r="P1350" i="10"/>
  <c r="Q1349" i="10"/>
  <c r="P1349" i="10"/>
  <c r="Q1348" i="10"/>
  <c r="P1348" i="10"/>
  <c r="Q1347" i="10"/>
  <c r="P1347" i="10"/>
  <c r="Q1346" i="10"/>
  <c r="P1346" i="10"/>
  <c r="Q1345" i="10"/>
  <c r="P1345" i="10"/>
  <c r="Q1344" i="10"/>
  <c r="P1344" i="10"/>
  <c r="Q1343" i="10"/>
  <c r="P1343" i="10"/>
  <c r="Q1342" i="10"/>
  <c r="P1342" i="10"/>
  <c r="Q1341" i="10"/>
  <c r="P1341" i="10"/>
  <c r="Q1340" i="10"/>
  <c r="P1340" i="10"/>
  <c r="Q1339" i="10"/>
  <c r="P1339" i="10"/>
  <c r="Q1338" i="10"/>
  <c r="P1338" i="10"/>
  <c r="Q1337" i="10"/>
  <c r="P1337" i="10"/>
  <c r="Q1336" i="10"/>
  <c r="P1336" i="10"/>
  <c r="Q1335" i="10"/>
  <c r="P1335" i="10"/>
  <c r="Q1334" i="10"/>
  <c r="P1334" i="10"/>
  <c r="Q1333" i="10"/>
  <c r="P1333" i="10"/>
  <c r="Q1332" i="10"/>
  <c r="P1332" i="10"/>
  <c r="Q1331" i="10"/>
  <c r="P1331" i="10"/>
  <c r="Q1330" i="10"/>
  <c r="P1330" i="10"/>
  <c r="Q1329" i="10"/>
  <c r="P1329" i="10"/>
  <c r="Q1328" i="10"/>
  <c r="P1328" i="10"/>
  <c r="Q1327" i="10"/>
  <c r="P1327" i="10"/>
  <c r="Q1326" i="10"/>
  <c r="P1326" i="10"/>
  <c r="Q1325" i="10"/>
  <c r="P1325" i="10"/>
  <c r="Q1324" i="10"/>
  <c r="P1324" i="10"/>
  <c r="Q1323" i="10"/>
  <c r="P1323" i="10"/>
  <c r="Q1322" i="10"/>
  <c r="P1322" i="10"/>
  <c r="Q1321" i="10"/>
  <c r="P1321" i="10"/>
  <c r="Q1320" i="10"/>
  <c r="P1320" i="10"/>
  <c r="Q1319" i="10"/>
  <c r="P1319" i="10"/>
  <c r="Q1318" i="10"/>
  <c r="P1318" i="10"/>
  <c r="Q1317" i="10"/>
  <c r="P1317" i="10"/>
  <c r="Q1316" i="10"/>
  <c r="P1316" i="10"/>
  <c r="Q1315" i="10"/>
  <c r="P1315" i="10"/>
  <c r="Q1314" i="10"/>
  <c r="P1314" i="10"/>
  <c r="Q1313" i="10"/>
  <c r="P1313" i="10"/>
  <c r="Q1312" i="10"/>
  <c r="P1312" i="10"/>
  <c r="Q1311" i="10"/>
  <c r="P1311" i="10"/>
  <c r="Q1310" i="10"/>
  <c r="P1310" i="10"/>
  <c r="Q1309" i="10"/>
  <c r="P1309" i="10"/>
  <c r="Q1308" i="10"/>
  <c r="P1308" i="10"/>
  <c r="Q1307" i="10"/>
  <c r="P1307" i="10"/>
  <c r="Q1306" i="10"/>
  <c r="P1306" i="10"/>
  <c r="Q1305" i="10"/>
  <c r="P1305" i="10"/>
  <c r="Q1304" i="10"/>
  <c r="P1304" i="10"/>
  <c r="Q1303" i="10"/>
  <c r="P1303" i="10"/>
  <c r="Q1302" i="10"/>
  <c r="P1302" i="10"/>
  <c r="Q1301" i="10"/>
  <c r="P1301" i="10"/>
  <c r="Q1300" i="10"/>
  <c r="P1300" i="10"/>
  <c r="Q1299" i="10"/>
  <c r="P1299" i="10"/>
  <c r="Q1298" i="10"/>
  <c r="P1298" i="10"/>
  <c r="Q1297" i="10"/>
  <c r="P1297" i="10"/>
  <c r="Q1296" i="10"/>
  <c r="P1296" i="10"/>
  <c r="Q1295" i="10"/>
  <c r="P1295" i="10"/>
  <c r="Q1294" i="10"/>
  <c r="P1294" i="10"/>
  <c r="Q1293" i="10"/>
  <c r="P1293" i="10"/>
  <c r="Q1292" i="10"/>
  <c r="P1292" i="10"/>
  <c r="Q1291" i="10"/>
  <c r="P1291" i="10"/>
  <c r="Q1290" i="10"/>
  <c r="P1290" i="10"/>
  <c r="Q1289" i="10"/>
  <c r="P1289" i="10"/>
  <c r="Q1288" i="10"/>
  <c r="P1288" i="10"/>
  <c r="Q1287" i="10"/>
  <c r="P1287" i="10"/>
  <c r="Q1286" i="10"/>
  <c r="P1286" i="10"/>
  <c r="Q1285" i="10"/>
  <c r="P1285" i="10"/>
  <c r="Q1284" i="10"/>
  <c r="P1284" i="10"/>
  <c r="Q1283" i="10"/>
  <c r="P1283" i="10"/>
  <c r="Q1282" i="10"/>
  <c r="P1282" i="10"/>
  <c r="Q1281" i="10"/>
  <c r="P1281" i="10"/>
  <c r="Q1280" i="10"/>
  <c r="P1280" i="10"/>
  <c r="Q1279" i="10"/>
  <c r="P1279" i="10"/>
  <c r="Q1278" i="10"/>
  <c r="P1278" i="10"/>
  <c r="Q1277" i="10"/>
  <c r="P1277" i="10"/>
  <c r="Q1276" i="10"/>
  <c r="P1276" i="10"/>
  <c r="Q1275" i="10"/>
  <c r="P1275" i="10"/>
  <c r="Q1274" i="10"/>
  <c r="P1274" i="10"/>
  <c r="Q1273" i="10"/>
  <c r="P1273" i="10"/>
  <c r="Q1272" i="10"/>
  <c r="P1272" i="10"/>
  <c r="Q1271" i="10"/>
  <c r="P1271" i="10"/>
  <c r="Q1270" i="10"/>
  <c r="P1270" i="10"/>
  <c r="Q1269" i="10"/>
  <c r="P1269" i="10"/>
  <c r="Q1268" i="10"/>
  <c r="P1268" i="10"/>
  <c r="Q1267" i="10"/>
  <c r="P1267" i="10"/>
  <c r="Q1266" i="10"/>
  <c r="P1266" i="10"/>
  <c r="Q1265" i="10"/>
  <c r="P1265" i="10"/>
  <c r="Q1264" i="10"/>
  <c r="P1264" i="10"/>
  <c r="Q1263" i="10"/>
  <c r="P1263" i="10"/>
  <c r="Q1262" i="10"/>
  <c r="P1262" i="10"/>
  <c r="Q1261" i="10"/>
  <c r="P1261" i="10"/>
  <c r="Q1260" i="10"/>
  <c r="P1260" i="10"/>
  <c r="Q1259" i="10"/>
  <c r="P1259" i="10"/>
  <c r="Q1258" i="10"/>
  <c r="P1258" i="10"/>
  <c r="Q1257" i="10"/>
  <c r="P1257" i="10"/>
  <c r="Q1256" i="10"/>
  <c r="P1256" i="10"/>
  <c r="Q1255" i="10"/>
  <c r="P1255" i="10"/>
  <c r="Q1254" i="10"/>
  <c r="P1254" i="10"/>
  <c r="Q1253" i="10"/>
  <c r="P1253" i="10"/>
  <c r="Q1252" i="10"/>
  <c r="P1252" i="10"/>
  <c r="Q1251" i="10"/>
  <c r="P1251" i="10"/>
  <c r="Q1250" i="10"/>
  <c r="P1250" i="10"/>
  <c r="Q1249" i="10"/>
  <c r="P1249" i="10"/>
  <c r="Q1248" i="10"/>
  <c r="P1248" i="10"/>
  <c r="Q1247" i="10"/>
  <c r="P1247" i="10"/>
  <c r="Q1246" i="10"/>
  <c r="P1246" i="10"/>
  <c r="Q1245" i="10"/>
  <c r="P1245" i="10"/>
  <c r="Q1244" i="10"/>
  <c r="P1244" i="10"/>
  <c r="Q1243" i="10"/>
  <c r="P1243" i="10"/>
  <c r="Q1242" i="10"/>
  <c r="P1242" i="10"/>
  <c r="Q1241" i="10"/>
  <c r="P1241" i="10"/>
  <c r="Q1240" i="10"/>
  <c r="P1240" i="10"/>
  <c r="Q1239" i="10"/>
  <c r="P1239" i="10"/>
  <c r="Q1238" i="10"/>
  <c r="P1238" i="10"/>
  <c r="Q1237" i="10"/>
  <c r="P1237" i="10"/>
  <c r="Q1236" i="10"/>
  <c r="P1236" i="10"/>
  <c r="Q1235" i="10"/>
  <c r="P1235" i="10"/>
  <c r="Q1234" i="10"/>
  <c r="P1234" i="10"/>
  <c r="Q1233" i="10"/>
  <c r="P1233" i="10"/>
  <c r="Q1232" i="10"/>
  <c r="P1232" i="10"/>
  <c r="Q1231" i="10"/>
  <c r="P1231" i="10"/>
  <c r="Q1230" i="10"/>
  <c r="P1230" i="10"/>
  <c r="Q1229" i="10"/>
  <c r="P1229" i="10"/>
  <c r="Q1228" i="10"/>
  <c r="P1228" i="10"/>
  <c r="Q1227" i="10"/>
  <c r="P1227" i="10"/>
  <c r="Q1226" i="10"/>
  <c r="P1226" i="10"/>
  <c r="Q1225" i="10"/>
  <c r="P1225" i="10"/>
  <c r="Q1224" i="10"/>
  <c r="P1224" i="10"/>
  <c r="Q1223" i="10"/>
  <c r="P1223" i="10"/>
  <c r="Q1222" i="10"/>
  <c r="P1222" i="10"/>
  <c r="Q1221" i="10"/>
  <c r="P1221" i="10"/>
  <c r="Q1220" i="10"/>
  <c r="P1220" i="10"/>
  <c r="Q1219" i="10"/>
  <c r="P1219" i="10"/>
  <c r="Q1218" i="10"/>
  <c r="P1218" i="10"/>
  <c r="Q1217" i="10"/>
  <c r="P1217" i="10"/>
  <c r="Q1216" i="10"/>
  <c r="P1216" i="10"/>
  <c r="Q1215" i="10"/>
  <c r="P1215" i="10"/>
  <c r="Q1214" i="10"/>
  <c r="P1214" i="10"/>
  <c r="Q1213" i="10"/>
  <c r="P1213" i="10"/>
  <c r="Q1212" i="10"/>
  <c r="P1212" i="10"/>
  <c r="Q1211" i="10"/>
  <c r="P1211" i="10"/>
  <c r="Q1210" i="10"/>
  <c r="P1210" i="10"/>
  <c r="Q1209" i="10"/>
  <c r="P1209" i="10"/>
  <c r="Q1208" i="10"/>
  <c r="P1208" i="10"/>
  <c r="Q1207" i="10"/>
  <c r="P1207" i="10"/>
  <c r="Q1206" i="10"/>
  <c r="P1206" i="10"/>
  <c r="Q1205" i="10"/>
  <c r="P1205" i="10"/>
  <c r="Q1204" i="10"/>
  <c r="P1204" i="10"/>
  <c r="Q1203" i="10"/>
  <c r="P1203" i="10"/>
  <c r="Q1202" i="10"/>
  <c r="P1202" i="10"/>
  <c r="Q1201" i="10"/>
  <c r="P1201" i="10"/>
  <c r="Q1200" i="10"/>
  <c r="P1200" i="10"/>
  <c r="Q1199" i="10"/>
  <c r="P1199" i="10"/>
  <c r="Q1198" i="10"/>
  <c r="P1198" i="10"/>
  <c r="Q1197" i="10"/>
  <c r="P1197" i="10"/>
  <c r="Q1196" i="10"/>
  <c r="P1196" i="10"/>
  <c r="Q1195" i="10"/>
  <c r="P1195" i="10"/>
  <c r="Q1194" i="10"/>
  <c r="P1194" i="10"/>
  <c r="Q1193" i="10"/>
  <c r="P1193" i="10"/>
  <c r="Q1192" i="10"/>
  <c r="P1192" i="10"/>
  <c r="Q1191" i="10"/>
  <c r="P1191" i="10"/>
  <c r="Q1190" i="10"/>
  <c r="P1190" i="10"/>
  <c r="Q1189" i="10"/>
  <c r="P1189" i="10"/>
  <c r="Q1188" i="10"/>
  <c r="P1188" i="10"/>
  <c r="Q1187" i="10"/>
  <c r="P1187" i="10"/>
  <c r="Q1186" i="10"/>
  <c r="P1186" i="10"/>
  <c r="Q1185" i="10"/>
  <c r="P1185" i="10"/>
  <c r="Q1184" i="10"/>
  <c r="P1184" i="10"/>
  <c r="Q1183" i="10"/>
  <c r="P1183" i="10"/>
  <c r="Q1182" i="10"/>
  <c r="P1182" i="10"/>
  <c r="Q1181" i="10"/>
  <c r="P1181" i="10"/>
  <c r="Q1180" i="10"/>
  <c r="P1180" i="10"/>
  <c r="Q1179" i="10"/>
  <c r="P1179" i="10"/>
  <c r="Q1178" i="10"/>
  <c r="P1178" i="10"/>
  <c r="Q1177" i="10"/>
  <c r="P1177" i="10"/>
  <c r="Q1176" i="10"/>
  <c r="P1176" i="10"/>
  <c r="Q1175" i="10"/>
  <c r="P1175" i="10"/>
  <c r="Q1174" i="10"/>
  <c r="P1174" i="10"/>
  <c r="Q1173" i="10"/>
  <c r="P1173" i="10"/>
  <c r="Q1172" i="10"/>
  <c r="P1172" i="10"/>
  <c r="Q1171" i="10"/>
  <c r="P1171" i="10"/>
  <c r="Q1170" i="10"/>
  <c r="P1170" i="10"/>
  <c r="Q1169" i="10"/>
  <c r="P1169" i="10"/>
  <c r="Q1168" i="10"/>
  <c r="P1168" i="10"/>
  <c r="Q1167" i="10"/>
  <c r="P1167" i="10"/>
  <c r="Q1166" i="10"/>
  <c r="P1166" i="10"/>
  <c r="Q1165" i="10"/>
  <c r="P1165" i="10"/>
  <c r="Q1164" i="10"/>
  <c r="P1164" i="10"/>
  <c r="Q1163" i="10"/>
  <c r="P1163" i="10"/>
  <c r="Q1162" i="10"/>
  <c r="P1162" i="10"/>
  <c r="Q1161" i="10"/>
  <c r="P1161" i="10"/>
  <c r="Q1160" i="10"/>
  <c r="P1160" i="10"/>
  <c r="Q1159" i="10"/>
  <c r="P1159" i="10"/>
  <c r="Q1158" i="10"/>
  <c r="P1158" i="10"/>
  <c r="Q1157" i="10"/>
  <c r="P1157" i="10"/>
  <c r="Q1156" i="10"/>
  <c r="P1156" i="10"/>
  <c r="Q1155" i="10"/>
  <c r="P1155" i="10"/>
  <c r="Q1154" i="10"/>
  <c r="P1154" i="10"/>
  <c r="Q1153" i="10"/>
  <c r="P1153" i="10"/>
  <c r="Q1152" i="10"/>
  <c r="P1152" i="10"/>
  <c r="Q1151" i="10"/>
  <c r="P1151" i="10"/>
  <c r="Q1150" i="10"/>
  <c r="P1150" i="10"/>
  <c r="Q1149" i="10"/>
  <c r="P1149" i="10"/>
  <c r="Q1148" i="10"/>
  <c r="P1148" i="10"/>
  <c r="Q1147" i="10"/>
  <c r="P1147" i="10"/>
  <c r="Q1146" i="10"/>
  <c r="P1146" i="10"/>
  <c r="Q1145" i="10"/>
  <c r="P1145" i="10"/>
  <c r="Q1144" i="10"/>
  <c r="P1144" i="10"/>
  <c r="Q1143" i="10"/>
  <c r="P1143" i="10"/>
  <c r="Q1142" i="10"/>
  <c r="P1142" i="10"/>
  <c r="Q1141" i="10"/>
  <c r="P1141" i="10"/>
  <c r="Q1140" i="10"/>
  <c r="P1140" i="10"/>
  <c r="Q1139" i="10"/>
  <c r="P1139" i="10"/>
  <c r="Q1138" i="10"/>
  <c r="P1138" i="10"/>
  <c r="Q1137" i="10"/>
  <c r="P1137" i="10"/>
  <c r="Q1136" i="10"/>
  <c r="P1136" i="10"/>
  <c r="Q1135" i="10"/>
  <c r="P1135" i="10"/>
  <c r="Q1134" i="10"/>
  <c r="P1134" i="10"/>
  <c r="Q1133" i="10"/>
  <c r="P1133" i="10"/>
  <c r="Q1132" i="10"/>
  <c r="P1132" i="10"/>
  <c r="Q1131" i="10"/>
  <c r="P1131" i="10"/>
  <c r="Q1130" i="10"/>
  <c r="P1130" i="10"/>
  <c r="Q1129" i="10"/>
  <c r="P1129" i="10"/>
  <c r="Q1128" i="10"/>
  <c r="P1128" i="10"/>
  <c r="Q1127" i="10"/>
  <c r="P1127" i="10"/>
  <c r="Q1126" i="10"/>
  <c r="P1126" i="10"/>
  <c r="Q1125" i="10"/>
  <c r="P1125" i="10"/>
  <c r="Q1124" i="10"/>
  <c r="P1124" i="10"/>
  <c r="Q1123" i="10"/>
  <c r="P1123" i="10"/>
  <c r="Q1122" i="10"/>
  <c r="P1122" i="10"/>
  <c r="Q1121" i="10"/>
  <c r="P1121" i="10"/>
  <c r="Q1120" i="10"/>
  <c r="P1120" i="10"/>
  <c r="Q1119" i="10"/>
  <c r="P1119" i="10"/>
  <c r="Q1118" i="10"/>
  <c r="P1118" i="10"/>
  <c r="Q1117" i="10"/>
  <c r="P1117" i="10"/>
  <c r="Q1116" i="10"/>
  <c r="P1116" i="10"/>
  <c r="Q1115" i="10"/>
  <c r="P1115" i="10"/>
  <c r="Q1114" i="10"/>
  <c r="P1114" i="10"/>
  <c r="Q1113" i="10"/>
  <c r="P1113" i="10"/>
  <c r="Q1112" i="10"/>
  <c r="P1112" i="10"/>
  <c r="Q1111" i="10"/>
  <c r="P1111" i="10"/>
  <c r="Q1110" i="10"/>
  <c r="P1110" i="10"/>
  <c r="Q1109" i="10"/>
  <c r="P1109" i="10"/>
  <c r="Q1108" i="10"/>
  <c r="P1108" i="10"/>
  <c r="Q1107" i="10"/>
  <c r="P1107" i="10"/>
  <c r="Q1106" i="10"/>
  <c r="P1106" i="10"/>
  <c r="Q1105" i="10"/>
  <c r="P1105" i="10"/>
  <c r="Q1104" i="10"/>
  <c r="P1104" i="10"/>
  <c r="Q1103" i="10"/>
  <c r="P1103" i="10"/>
  <c r="Q1102" i="10"/>
  <c r="P1102" i="10"/>
  <c r="Q1101" i="10"/>
  <c r="P1101" i="10"/>
  <c r="Q1100" i="10"/>
  <c r="P1100" i="10"/>
  <c r="Q1099" i="10"/>
  <c r="P1099" i="10"/>
  <c r="Q1098" i="10"/>
  <c r="P1098" i="10"/>
  <c r="Q1097" i="10"/>
  <c r="P1097" i="10"/>
  <c r="Q1096" i="10"/>
  <c r="P1096" i="10"/>
  <c r="Q1095" i="10"/>
  <c r="P1095" i="10"/>
  <c r="Q1094" i="10"/>
  <c r="P1094" i="10"/>
  <c r="Q1093" i="10"/>
  <c r="P1093" i="10"/>
  <c r="Q1092" i="10"/>
  <c r="P1092" i="10"/>
  <c r="Q1091" i="10"/>
  <c r="P1091" i="10"/>
  <c r="Q1090" i="10"/>
  <c r="P1090" i="10"/>
  <c r="Q1089" i="10"/>
  <c r="P1089" i="10"/>
  <c r="Q1088" i="10"/>
  <c r="P1088" i="10"/>
  <c r="Q1087" i="10"/>
  <c r="P1087" i="10"/>
  <c r="Q1086" i="10"/>
  <c r="P1086" i="10"/>
  <c r="Q1085" i="10"/>
  <c r="P1085" i="10"/>
  <c r="Q1084" i="10"/>
  <c r="P1084" i="10"/>
  <c r="Q1083" i="10"/>
  <c r="P1083" i="10"/>
  <c r="Q1082" i="10"/>
  <c r="P1082" i="10"/>
  <c r="Q1081" i="10"/>
  <c r="P1081" i="10"/>
  <c r="Q1080" i="10"/>
  <c r="P1080" i="10"/>
  <c r="Q1079" i="10"/>
  <c r="P1079" i="10"/>
  <c r="Q1078" i="10"/>
  <c r="P1078" i="10"/>
  <c r="Q1077" i="10"/>
  <c r="P1077" i="10"/>
  <c r="Q1076" i="10"/>
  <c r="P1076" i="10"/>
  <c r="Q1075" i="10"/>
  <c r="P1075" i="10"/>
  <c r="Q1074" i="10"/>
  <c r="P1074" i="10"/>
  <c r="Q1073" i="10"/>
  <c r="P1073" i="10"/>
  <c r="Q1072" i="10"/>
  <c r="P1072" i="10"/>
  <c r="Q1071" i="10"/>
  <c r="P1071" i="10"/>
  <c r="Q1070" i="10"/>
  <c r="P1070" i="10"/>
  <c r="Q1069" i="10"/>
  <c r="P1069" i="10"/>
  <c r="Q1068" i="10"/>
  <c r="P1068" i="10"/>
  <c r="Q1067" i="10"/>
  <c r="P1067" i="10"/>
  <c r="Q1066" i="10"/>
  <c r="P1066" i="10"/>
  <c r="Q1065" i="10"/>
  <c r="P1065" i="10"/>
  <c r="Q1064" i="10"/>
  <c r="P1064" i="10"/>
  <c r="Q1063" i="10"/>
  <c r="P1063" i="10"/>
  <c r="Q1062" i="10"/>
  <c r="P1062" i="10"/>
  <c r="Q1061" i="10"/>
  <c r="P1061" i="10"/>
  <c r="Q1060" i="10"/>
  <c r="P1060" i="10"/>
  <c r="Q1059" i="10"/>
  <c r="P1059" i="10"/>
  <c r="Q1058" i="10"/>
  <c r="P1058" i="10"/>
  <c r="Q1057" i="10"/>
  <c r="P1057" i="10"/>
  <c r="Q1056" i="10"/>
  <c r="P1056" i="10"/>
  <c r="Q1055" i="10"/>
  <c r="P1055" i="10"/>
  <c r="Q1054" i="10"/>
  <c r="P1054" i="10"/>
  <c r="Q1053" i="10"/>
  <c r="P1053" i="10"/>
  <c r="Q1052" i="10"/>
  <c r="P1052" i="10"/>
  <c r="Q1051" i="10"/>
  <c r="P1051" i="10"/>
  <c r="Q1050" i="10"/>
  <c r="P1050" i="10"/>
  <c r="Q1049" i="10"/>
  <c r="P1049" i="10"/>
  <c r="Q1048" i="10"/>
  <c r="P1048" i="10"/>
  <c r="Q1047" i="10"/>
  <c r="P1047" i="10"/>
  <c r="Q1046" i="10"/>
  <c r="P1046" i="10"/>
  <c r="Q1045" i="10"/>
  <c r="P1045" i="10"/>
  <c r="Q1044" i="10"/>
  <c r="P1044" i="10"/>
  <c r="Q1043" i="10"/>
  <c r="P1043" i="10"/>
  <c r="Q1042" i="10"/>
  <c r="P1042" i="10"/>
  <c r="Q1041" i="10"/>
  <c r="P1041" i="10"/>
  <c r="Q1040" i="10"/>
  <c r="P1040" i="10"/>
  <c r="Q1039" i="10"/>
  <c r="P1039" i="10"/>
  <c r="Q1038" i="10"/>
  <c r="P1038" i="10"/>
  <c r="Q1037" i="10"/>
  <c r="P1037" i="10"/>
  <c r="Q1036" i="10"/>
  <c r="P1036" i="10"/>
  <c r="Q1035" i="10"/>
  <c r="P1035" i="10"/>
  <c r="Q1034" i="10"/>
  <c r="P1034" i="10"/>
  <c r="Q1033" i="10"/>
  <c r="P1033" i="10"/>
  <c r="Q1032" i="10"/>
  <c r="P1032" i="10"/>
  <c r="Q1031" i="10"/>
  <c r="P1031" i="10"/>
  <c r="Q1030" i="10"/>
  <c r="P1030" i="10"/>
  <c r="Q1029" i="10"/>
  <c r="P1029" i="10"/>
  <c r="Q1028" i="10"/>
  <c r="P1028" i="10"/>
  <c r="Q1027" i="10"/>
  <c r="P1027" i="10"/>
  <c r="Q1026" i="10"/>
  <c r="P1026" i="10"/>
  <c r="Q1025" i="10"/>
  <c r="P1025" i="10"/>
  <c r="Q1024" i="10"/>
  <c r="P1024" i="10"/>
  <c r="Q1023" i="10"/>
  <c r="P1023" i="10"/>
  <c r="Q1022" i="10"/>
  <c r="P1022" i="10"/>
  <c r="Q1021" i="10"/>
  <c r="P1021" i="10"/>
  <c r="Q1020" i="10"/>
  <c r="P1020" i="10"/>
  <c r="Q1019" i="10"/>
  <c r="P1019" i="10"/>
  <c r="Q1018" i="10"/>
  <c r="P1018" i="10"/>
  <c r="Q1017" i="10"/>
  <c r="P1017" i="10"/>
  <c r="Q1016" i="10"/>
  <c r="P1016" i="10"/>
  <c r="Q1015" i="10"/>
  <c r="P1015" i="10"/>
  <c r="Q1014" i="10"/>
  <c r="P1014" i="10"/>
  <c r="Q1013" i="10"/>
  <c r="P1013" i="10"/>
  <c r="Q1012" i="10"/>
  <c r="P1012" i="10"/>
  <c r="Q1011" i="10"/>
  <c r="P1011" i="10"/>
  <c r="Q1010" i="10"/>
  <c r="P1010" i="10"/>
  <c r="Q1009" i="10"/>
  <c r="P1009" i="10"/>
  <c r="Q1008" i="10"/>
  <c r="P1008" i="10"/>
  <c r="Q1007" i="10"/>
  <c r="P1007" i="10"/>
  <c r="Q1006" i="10"/>
  <c r="P1006" i="10"/>
  <c r="Q1005" i="10"/>
  <c r="P1005" i="10"/>
  <c r="Q1004" i="10"/>
  <c r="P1004" i="10"/>
  <c r="Q1003" i="10"/>
  <c r="P1003" i="10"/>
  <c r="Q1002" i="10"/>
  <c r="P1002" i="10"/>
  <c r="Q1001" i="10"/>
  <c r="P1001" i="10"/>
  <c r="Q1000" i="10"/>
  <c r="P1000" i="10"/>
  <c r="Q999" i="10"/>
  <c r="P999" i="10"/>
  <c r="Q998" i="10"/>
  <c r="P998" i="10"/>
  <c r="Q997" i="10"/>
  <c r="P997" i="10"/>
  <c r="Q996" i="10"/>
  <c r="P996" i="10"/>
  <c r="Q995" i="10"/>
  <c r="P995" i="10"/>
  <c r="Q994" i="10"/>
  <c r="P994" i="10"/>
  <c r="Q993" i="10"/>
  <c r="P993" i="10"/>
  <c r="Q992" i="10"/>
  <c r="P992" i="10"/>
  <c r="Q991" i="10"/>
  <c r="P991" i="10"/>
  <c r="Q990" i="10"/>
  <c r="P990" i="10"/>
  <c r="Q989" i="10"/>
  <c r="P989" i="10"/>
  <c r="Q988" i="10"/>
  <c r="P988" i="10"/>
  <c r="Q987" i="10"/>
  <c r="P987" i="10"/>
  <c r="Q986" i="10"/>
  <c r="P986" i="10"/>
  <c r="Q985" i="10"/>
  <c r="P985" i="10"/>
  <c r="Q984" i="10"/>
  <c r="P984" i="10"/>
  <c r="Q983" i="10"/>
  <c r="P983" i="10"/>
  <c r="Q982" i="10"/>
  <c r="P982" i="10"/>
  <c r="Q981" i="10"/>
  <c r="P981" i="10"/>
  <c r="Q980" i="10"/>
  <c r="P980" i="10"/>
  <c r="Q979" i="10"/>
  <c r="P979" i="10"/>
  <c r="Q978" i="10"/>
  <c r="P978" i="10"/>
  <c r="Q977" i="10"/>
  <c r="P977" i="10"/>
  <c r="Q976" i="10"/>
  <c r="P976" i="10"/>
  <c r="Q975" i="10"/>
  <c r="P975" i="10"/>
  <c r="Q974" i="10"/>
  <c r="P974" i="10"/>
  <c r="Q973" i="10"/>
  <c r="P973" i="10"/>
  <c r="Q972" i="10"/>
  <c r="P972" i="10"/>
  <c r="Q971" i="10"/>
  <c r="P971" i="10"/>
  <c r="Q970" i="10"/>
  <c r="P970" i="10"/>
  <c r="Q969" i="10"/>
  <c r="P969" i="10"/>
  <c r="Q968" i="10"/>
  <c r="P968" i="10"/>
  <c r="Q967" i="10"/>
  <c r="P967" i="10"/>
  <c r="Q966" i="10"/>
  <c r="P966" i="10"/>
  <c r="Q965" i="10"/>
  <c r="P965" i="10"/>
  <c r="Q964" i="10"/>
  <c r="P964" i="10"/>
  <c r="Q963" i="10"/>
  <c r="P963" i="10"/>
  <c r="Q962" i="10"/>
  <c r="P962" i="10"/>
  <c r="Q961" i="10"/>
  <c r="P961" i="10"/>
  <c r="Q960" i="10"/>
  <c r="P960" i="10"/>
  <c r="Q959" i="10"/>
  <c r="P959" i="10"/>
  <c r="Q958" i="10"/>
  <c r="P958" i="10"/>
  <c r="Q957" i="10"/>
  <c r="P957" i="10"/>
  <c r="Q956" i="10"/>
  <c r="P956" i="10"/>
  <c r="Q955" i="10"/>
  <c r="P955" i="10"/>
  <c r="Q954" i="10"/>
  <c r="P954" i="10"/>
  <c r="Q953" i="10"/>
  <c r="P953" i="10"/>
  <c r="Q952" i="10"/>
  <c r="P952" i="10"/>
  <c r="Q951" i="10"/>
  <c r="P951" i="10"/>
  <c r="Q950" i="10"/>
  <c r="P950" i="10"/>
  <c r="Q949" i="10"/>
  <c r="P949" i="10"/>
  <c r="Q948" i="10"/>
  <c r="P948" i="10"/>
  <c r="Q947" i="10"/>
  <c r="P947" i="10"/>
  <c r="Q946" i="10"/>
  <c r="P946" i="10"/>
  <c r="Q945" i="10"/>
  <c r="P945" i="10"/>
  <c r="Q944" i="10"/>
  <c r="P944" i="10"/>
  <c r="Q943" i="10"/>
  <c r="P943" i="10"/>
  <c r="Q942" i="10"/>
  <c r="P942" i="10"/>
  <c r="Q941" i="10"/>
  <c r="P941" i="10"/>
  <c r="Q940" i="10"/>
  <c r="P940" i="10"/>
  <c r="Q939" i="10"/>
  <c r="P939" i="10"/>
  <c r="Q938" i="10"/>
  <c r="P938" i="10"/>
  <c r="Q937" i="10"/>
  <c r="P937" i="10"/>
  <c r="Q936" i="10"/>
  <c r="P936" i="10"/>
  <c r="Q935" i="10"/>
  <c r="P935" i="10"/>
  <c r="Q934" i="10"/>
  <c r="P934" i="10"/>
  <c r="Q933" i="10"/>
  <c r="P933" i="10"/>
  <c r="Q932" i="10"/>
  <c r="P932" i="10"/>
  <c r="Q931" i="10"/>
  <c r="P931" i="10"/>
  <c r="Q930" i="10"/>
  <c r="P930" i="10"/>
  <c r="Q929" i="10"/>
  <c r="P929" i="10"/>
  <c r="Q928" i="10"/>
  <c r="P928" i="10"/>
  <c r="Q927" i="10"/>
  <c r="P927" i="10"/>
  <c r="Q926" i="10"/>
  <c r="P926" i="10"/>
  <c r="Q925" i="10"/>
  <c r="P925" i="10"/>
  <c r="Q924" i="10"/>
  <c r="P924" i="10"/>
  <c r="Q923" i="10"/>
  <c r="P923" i="10"/>
  <c r="Q922" i="10"/>
  <c r="P922" i="10"/>
  <c r="Q921" i="10"/>
  <c r="P921" i="10"/>
  <c r="Q920" i="10"/>
  <c r="P920" i="10"/>
  <c r="Q919" i="10"/>
  <c r="P919" i="10"/>
  <c r="Q918" i="10"/>
  <c r="P918" i="10"/>
  <c r="Q917" i="10"/>
  <c r="P917" i="10"/>
  <c r="Q916" i="10"/>
  <c r="P916" i="10"/>
  <c r="Q915" i="10"/>
  <c r="P915" i="10"/>
  <c r="Q914" i="10"/>
  <c r="P914" i="10"/>
  <c r="Q913" i="10"/>
  <c r="P913" i="10"/>
  <c r="Q912" i="10"/>
  <c r="P912" i="10"/>
  <c r="Q911" i="10"/>
  <c r="P911" i="10"/>
  <c r="Q910" i="10"/>
  <c r="P910" i="10"/>
  <c r="Q909" i="10"/>
  <c r="P909" i="10"/>
  <c r="Q908" i="10"/>
  <c r="P908" i="10"/>
  <c r="Q907" i="10"/>
  <c r="P907" i="10"/>
  <c r="Q906" i="10"/>
  <c r="P906" i="10"/>
  <c r="Q905" i="10"/>
  <c r="P905" i="10"/>
  <c r="Q904" i="10"/>
  <c r="P904" i="10"/>
  <c r="Q903" i="10"/>
  <c r="P903" i="10"/>
  <c r="Q902" i="10"/>
  <c r="P902" i="10"/>
  <c r="Q901" i="10"/>
  <c r="P901" i="10"/>
  <c r="Q900" i="10"/>
  <c r="P900" i="10"/>
  <c r="Q899" i="10"/>
  <c r="P899" i="10"/>
  <c r="Q898" i="10"/>
  <c r="P898" i="10"/>
  <c r="Q897" i="10"/>
  <c r="P897" i="10"/>
  <c r="Q896" i="10"/>
  <c r="P896" i="10"/>
  <c r="Q895" i="10"/>
  <c r="P895" i="10"/>
  <c r="Q894" i="10"/>
  <c r="P894" i="10"/>
  <c r="Q893" i="10"/>
  <c r="P893" i="10"/>
  <c r="Q892" i="10"/>
  <c r="P892" i="10"/>
  <c r="Q891" i="10"/>
  <c r="P891" i="10"/>
  <c r="Q890" i="10"/>
  <c r="P890" i="10"/>
  <c r="Q889" i="10"/>
  <c r="P889" i="10"/>
  <c r="Q888" i="10"/>
  <c r="P888" i="10"/>
  <c r="Q887" i="10"/>
  <c r="P887" i="10"/>
  <c r="Q886" i="10"/>
  <c r="P886" i="10"/>
  <c r="Q885" i="10"/>
  <c r="P885" i="10"/>
  <c r="Q884" i="10"/>
  <c r="P884" i="10"/>
  <c r="Q883" i="10"/>
  <c r="P883" i="10"/>
  <c r="Q882" i="10"/>
  <c r="P882" i="10"/>
  <c r="Q881" i="10"/>
  <c r="P881" i="10"/>
  <c r="Q880" i="10"/>
  <c r="P880" i="10"/>
  <c r="Q879" i="10"/>
  <c r="P879" i="10"/>
  <c r="Q878" i="10"/>
  <c r="P878" i="10"/>
  <c r="Q877" i="10"/>
  <c r="P877" i="10"/>
  <c r="Q876" i="10"/>
  <c r="P876" i="10"/>
  <c r="Q875" i="10"/>
  <c r="P875" i="10"/>
  <c r="Q874" i="10"/>
  <c r="P874" i="10"/>
  <c r="Q873" i="10"/>
  <c r="P873" i="10"/>
  <c r="Q872" i="10"/>
  <c r="P872" i="10"/>
  <c r="Q871" i="10"/>
  <c r="P871" i="10"/>
  <c r="Q870" i="10"/>
  <c r="P870" i="10"/>
  <c r="Q869" i="10"/>
  <c r="P869" i="10"/>
  <c r="Q868" i="10"/>
  <c r="P868" i="10"/>
  <c r="Q867" i="10"/>
  <c r="P867" i="10"/>
  <c r="Q866" i="10"/>
  <c r="P866" i="10"/>
  <c r="Q865" i="10"/>
  <c r="P865" i="10"/>
  <c r="Q864" i="10"/>
  <c r="P864" i="10"/>
  <c r="Q863" i="10"/>
  <c r="P863" i="10"/>
  <c r="Q862" i="10"/>
  <c r="P862" i="10"/>
  <c r="Q861" i="10"/>
  <c r="P861" i="10"/>
  <c r="Q860" i="10"/>
  <c r="P860" i="10"/>
  <c r="Q859" i="10"/>
  <c r="P859" i="10"/>
  <c r="Q858" i="10"/>
  <c r="P858" i="10"/>
  <c r="Q857" i="10"/>
  <c r="P857" i="10"/>
  <c r="Q856" i="10"/>
  <c r="P856" i="10"/>
  <c r="Q855" i="10"/>
  <c r="P855" i="10"/>
  <c r="Q854" i="10"/>
  <c r="P854" i="10"/>
  <c r="Q853" i="10"/>
  <c r="P853" i="10"/>
  <c r="Q852" i="10"/>
  <c r="P852" i="10"/>
  <c r="Q851" i="10"/>
  <c r="P851" i="10"/>
  <c r="Q850" i="10"/>
  <c r="P850" i="10"/>
  <c r="Q849" i="10"/>
  <c r="P849" i="10"/>
  <c r="Q848" i="10"/>
  <c r="P848" i="10"/>
  <c r="Q847" i="10"/>
  <c r="P847" i="10"/>
  <c r="Q846" i="10"/>
  <c r="P846" i="10"/>
  <c r="Q845" i="10"/>
  <c r="P845" i="10"/>
  <c r="Q844" i="10"/>
  <c r="P844" i="10"/>
  <c r="Q843" i="10"/>
  <c r="P843" i="10"/>
  <c r="Q842" i="10"/>
  <c r="P842" i="10"/>
  <c r="Q841" i="10"/>
  <c r="P841" i="10"/>
  <c r="Q840" i="10"/>
  <c r="P840" i="10"/>
  <c r="Q839" i="10"/>
  <c r="P839" i="10"/>
  <c r="Q838" i="10"/>
  <c r="P838" i="10"/>
  <c r="Q837" i="10"/>
  <c r="P837" i="10"/>
  <c r="Q836" i="10"/>
  <c r="P836" i="10"/>
  <c r="Q835" i="10"/>
  <c r="P835" i="10"/>
  <c r="Q834" i="10"/>
  <c r="P834" i="10"/>
  <c r="Q833" i="10"/>
  <c r="P833" i="10"/>
  <c r="Q832" i="10"/>
  <c r="P832" i="10"/>
  <c r="Q831" i="10"/>
  <c r="P831" i="10"/>
  <c r="Q830" i="10"/>
  <c r="P830" i="10"/>
  <c r="Q829" i="10"/>
  <c r="P829" i="10"/>
  <c r="Q828" i="10"/>
  <c r="P828" i="10"/>
  <c r="Q827" i="10"/>
  <c r="P827" i="10"/>
  <c r="Q826" i="10"/>
  <c r="P826" i="10"/>
  <c r="Q825" i="10"/>
  <c r="P825" i="10"/>
  <c r="Q824" i="10"/>
  <c r="P824" i="10"/>
  <c r="Q823" i="10"/>
  <c r="P823" i="10"/>
  <c r="Q822" i="10"/>
  <c r="P822" i="10"/>
  <c r="Q821" i="10"/>
  <c r="P821" i="10"/>
  <c r="Q820" i="10"/>
  <c r="P820" i="10"/>
  <c r="Q819" i="10"/>
  <c r="P819" i="10"/>
  <c r="Q818" i="10"/>
  <c r="P818" i="10"/>
  <c r="Q817" i="10"/>
  <c r="P817" i="10"/>
  <c r="Q816" i="10"/>
  <c r="P816" i="10"/>
  <c r="Q815" i="10"/>
  <c r="P815" i="10"/>
  <c r="Q814" i="10"/>
  <c r="P814" i="10"/>
  <c r="Q813" i="10"/>
  <c r="P813" i="10"/>
  <c r="Q812" i="10"/>
  <c r="P812" i="10"/>
  <c r="Q811" i="10"/>
  <c r="P811" i="10"/>
  <c r="Q810" i="10"/>
  <c r="P810" i="10"/>
  <c r="Q809" i="10"/>
  <c r="P809" i="10"/>
  <c r="Q808" i="10"/>
  <c r="P808" i="10"/>
  <c r="Q807" i="10"/>
  <c r="P807" i="10"/>
  <c r="Q806" i="10"/>
  <c r="P806" i="10"/>
  <c r="Q805" i="10"/>
  <c r="P805" i="10"/>
  <c r="Q804" i="10"/>
  <c r="P804" i="10"/>
  <c r="Q803" i="10"/>
  <c r="P803" i="10"/>
  <c r="Q802" i="10"/>
  <c r="P802" i="10"/>
  <c r="Q801" i="10"/>
  <c r="P801" i="10"/>
  <c r="Q800" i="10"/>
  <c r="P800" i="10"/>
  <c r="Q799" i="10"/>
  <c r="P799" i="10"/>
  <c r="Q798" i="10"/>
  <c r="P798" i="10"/>
  <c r="Q797" i="10"/>
  <c r="P797" i="10"/>
  <c r="Q796" i="10"/>
  <c r="P796" i="10"/>
  <c r="Q795" i="10"/>
  <c r="P795" i="10"/>
  <c r="Q794" i="10"/>
  <c r="P794" i="10"/>
  <c r="Q793" i="10"/>
  <c r="P793" i="10"/>
  <c r="Q792" i="10"/>
  <c r="P792" i="10"/>
  <c r="Q791" i="10"/>
  <c r="P791" i="10"/>
  <c r="Q790" i="10"/>
  <c r="P790" i="10"/>
  <c r="Q789" i="10"/>
  <c r="P789" i="10"/>
  <c r="Q788" i="10"/>
  <c r="P788" i="10"/>
  <c r="Q787" i="10"/>
  <c r="P787" i="10"/>
  <c r="Q786" i="10"/>
  <c r="P786" i="10"/>
  <c r="Q785" i="10"/>
  <c r="P785" i="10"/>
  <c r="Q784" i="10"/>
  <c r="P784" i="10"/>
  <c r="Q783" i="10"/>
  <c r="P783" i="10"/>
  <c r="Q782" i="10"/>
  <c r="P782" i="10"/>
  <c r="Q781" i="10"/>
  <c r="P781" i="10"/>
  <c r="Q780" i="10"/>
  <c r="P780" i="10"/>
  <c r="Q779" i="10"/>
  <c r="P779" i="10"/>
  <c r="Q778" i="10"/>
  <c r="P778" i="10"/>
  <c r="Q777" i="10"/>
  <c r="P777" i="10"/>
  <c r="Q776" i="10"/>
  <c r="P776" i="10"/>
  <c r="Q775" i="10"/>
  <c r="P775" i="10"/>
  <c r="Q774" i="10"/>
  <c r="P774" i="10"/>
  <c r="Q773" i="10"/>
  <c r="P773" i="10"/>
  <c r="Q772" i="10"/>
  <c r="P772" i="10"/>
  <c r="Q771" i="10"/>
  <c r="P771" i="10"/>
  <c r="Q770" i="10"/>
  <c r="P770" i="10"/>
  <c r="Q769" i="10"/>
  <c r="P769" i="10"/>
  <c r="Q768" i="10"/>
  <c r="P768" i="10"/>
  <c r="Q767" i="10"/>
  <c r="P767" i="10"/>
  <c r="Q766" i="10"/>
  <c r="P766" i="10"/>
  <c r="Q765" i="10"/>
  <c r="P765" i="10"/>
  <c r="Q764" i="10"/>
  <c r="P764" i="10"/>
  <c r="Q763" i="10"/>
  <c r="P763" i="10"/>
  <c r="Q762" i="10"/>
  <c r="P762" i="10"/>
  <c r="Q761" i="10"/>
  <c r="P761" i="10"/>
  <c r="Q760" i="10"/>
  <c r="P760" i="10"/>
  <c r="Q759" i="10"/>
  <c r="P759" i="10"/>
  <c r="Q758" i="10"/>
  <c r="P758" i="10"/>
  <c r="Q757" i="10"/>
  <c r="P757" i="10"/>
  <c r="Q756" i="10"/>
  <c r="P756" i="10"/>
  <c r="Q755" i="10"/>
  <c r="P755" i="10"/>
  <c r="Q754" i="10"/>
  <c r="P754" i="10"/>
  <c r="Q753" i="10"/>
  <c r="P753" i="10"/>
  <c r="Q752" i="10"/>
  <c r="P752" i="10"/>
  <c r="Q751" i="10"/>
  <c r="P751" i="10"/>
  <c r="Q750" i="10"/>
  <c r="P750" i="10"/>
  <c r="Q749" i="10"/>
  <c r="P749" i="10"/>
  <c r="Q748" i="10"/>
  <c r="P748" i="10"/>
  <c r="Q747" i="10"/>
  <c r="P747" i="10"/>
  <c r="Q746" i="10"/>
  <c r="P746" i="10"/>
  <c r="Q745" i="10"/>
  <c r="P745" i="10"/>
  <c r="Q744" i="10"/>
  <c r="P744" i="10"/>
  <c r="Q743" i="10"/>
  <c r="P743" i="10"/>
  <c r="Q742" i="10"/>
  <c r="P742" i="10"/>
  <c r="Q741" i="10"/>
  <c r="P741" i="10"/>
  <c r="Q740" i="10"/>
  <c r="P740" i="10"/>
  <c r="Q739" i="10"/>
  <c r="P739" i="10"/>
  <c r="Q738" i="10"/>
  <c r="P738" i="10"/>
  <c r="Q737" i="10"/>
  <c r="P737" i="10"/>
  <c r="Q736" i="10"/>
  <c r="P736" i="10"/>
  <c r="Q735" i="10"/>
  <c r="P735" i="10"/>
  <c r="Q734" i="10"/>
  <c r="P734" i="10"/>
  <c r="Q733" i="10"/>
  <c r="P733" i="10"/>
  <c r="Q732" i="10"/>
  <c r="P732" i="10"/>
  <c r="Q731" i="10"/>
  <c r="P731" i="10"/>
  <c r="Q730" i="10"/>
  <c r="P730" i="10"/>
  <c r="Q729" i="10"/>
  <c r="P729" i="10"/>
  <c r="Q728" i="10"/>
  <c r="P728" i="10"/>
  <c r="Q727" i="10"/>
  <c r="P727" i="10"/>
  <c r="Q726" i="10"/>
  <c r="P726" i="10"/>
  <c r="Q725" i="10"/>
  <c r="P725" i="10"/>
  <c r="Q724" i="10"/>
  <c r="P724" i="10"/>
  <c r="Q723" i="10"/>
  <c r="P723" i="10"/>
  <c r="Q722" i="10"/>
  <c r="P722" i="10"/>
  <c r="Q721" i="10"/>
  <c r="P721" i="10"/>
  <c r="Q720" i="10"/>
  <c r="P720" i="10"/>
  <c r="Q719" i="10"/>
  <c r="P719" i="10"/>
  <c r="Q718" i="10"/>
  <c r="P718" i="10"/>
  <c r="Q717" i="10"/>
  <c r="P717" i="10"/>
  <c r="Q716" i="10"/>
  <c r="P716" i="10"/>
  <c r="Q715" i="10"/>
  <c r="P715" i="10"/>
  <c r="Q714" i="10"/>
  <c r="P714" i="10"/>
  <c r="Q713" i="10"/>
  <c r="P713" i="10"/>
  <c r="Q712" i="10"/>
  <c r="P712" i="10"/>
  <c r="Q711" i="10"/>
  <c r="P711" i="10"/>
  <c r="Q710" i="10"/>
  <c r="P710" i="10"/>
  <c r="Q709" i="10"/>
  <c r="P709" i="10"/>
  <c r="Q708" i="10"/>
  <c r="P708" i="10"/>
  <c r="Q707" i="10"/>
  <c r="P707" i="10"/>
  <c r="Q706" i="10"/>
  <c r="P706" i="10"/>
  <c r="Q705" i="10"/>
  <c r="P705" i="10"/>
  <c r="Q704" i="10"/>
  <c r="P704" i="10"/>
  <c r="Q703" i="10"/>
  <c r="P703" i="10"/>
  <c r="Q702" i="10"/>
  <c r="P702" i="10"/>
  <c r="Q701" i="10"/>
  <c r="P701" i="10"/>
  <c r="Q700" i="10"/>
  <c r="P700" i="10"/>
  <c r="Q699" i="10"/>
  <c r="P699" i="10"/>
  <c r="Q698" i="10"/>
  <c r="P698" i="10"/>
  <c r="Q697" i="10"/>
  <c r="P697" i="10"/>
  <c r="Q696" i="10"/>
  <c r="P696" i="10"/>
  <c r="Q695" i="10"/>
  <c r="P695" i="10"/>
  <c r="Q694" i="10"/>
  <c r="P694" i="10"/>
  <c r="Q693" i="10"/>
  <c r="P693" i="10"/>
  <c r="Q692" i="10"/>
  <c r="P692" i="10"/>
  <c r="Q691" i="10"/>
  <c r="P691" i="10"/>
  <c r="Q690" i="10"/>
  <c r="P690" i="10"/>
  <c r="Q689" i="10"/>
  <c r="P689" i="10"/>
  <c r="Q688" i="10"/>
  <c r="P688" i="10"/>
  <c r="Q687" i="10"/>
  <c r="P687" i="10"/>
  <c r="Q686" i="10"/>
  <c r="P686" i="10"/>
  <c r="Q685" i="10"/>
  <c r="P685" i="10"/>
  <c r="Q684" i="10"/>
  <c r="P684" i="10"/>
  <c r="Q683" i="10"/>
  <c r="P683" i="10"/>
  <c r="Q682" i="10"/>
  <c r="P682" i="10"/>
  <c r="Q681" i="10"/>
  <c r="P681" i="10"/>
  <c r="Q680" i="10"/>
  <c r="P680" i="10"/>
  <c r="Q679" i="10"/>
  <c r="P679" i="10"/>
  <c r="Q678" i="10"/>
  <c r="P678" i="10"/>
  <c r="Q677" i="10"/>
  <c r="P677" i="10"/>
  <c r="Q676" i="10"/>
  <c r="P676" i="10"/>
  <c r="Q675" i="10"/>
  <c r="P675" i="10"/>
  <c r="Q674" i="10"/>
  <c r="P674" i="10"/>
  <c r="Q673" i="10"/>
  <c r="P673" i="10"/>
  <c r="Q672" i="10"/>
  <c r="P672" i="10"/>
  <c r="Q671" i="10"/>
  <c r="P671" i="10"/>
  <c r="Q670" i="10"/>
  <c r="P670" i="10"/>
  <c r="Q669" i="10"/>
  <c r="P669" i="10"/>
  <c r="Q668" i="10"/>
  <c r="P668" i="10"/>
  <c r="Q667" i="10"/>
  <c r="P667" i="10"/>
  <c r="Q666" i="10"/>
  <c r="P666" i="10"/>
  <c r="Q665" i="10"/>
  <c r="P665" i="10"/>
  <c r="Q664" i="10"/>
  <c r="P664" i="10"/>
  <c r="Q663" i="10"/>
  <c r="P663" i="10"/>
  <c r="Q662" i="10"/>
  <c r="P662" i="10"/>
  <c r="Q661" i="10"/>
  <c r="P661" i="10"/>
  <c r="Q660" i="10"/>
  <c r="P660" i="10"/>
  <c r="Q659" i="10"/>
  <c r="P659" i="10"/>
  <c r="Q658" i="10"/>
  <c r="P658" i="10"/>
  <c r="Q657" i="10"/>
  <c r="P657" i="10"/>
  <c r="Q656" i="10"/>
  <c r="P656" i="10"/>
  <c r="Q655" i="10"/>
  <c r="P655" i="10"/>
  <c r="Q654" i="10"/>
  <c r="P654" i="10"/>
  <c r="Q653" i="10"/>
  <c r="P653" i="10"/>
  <c r="Q652" i="10"/>
  <c r="P652" i="10"/>
  <c r="Q651" i="10"/>
  <c r="P651" i="10"/>
  <c r="Q650" i="10"/>
  <c r="P650" i="10"/>
  <c r="Q649" i="10"/>
  <c r="P649" i="10"/>
  <c r="Q648" i="10"/>
  <c r="P648" i="10"/>
  <c r="Q647" i="10"/>
  <c r="P647" i="10"/>
  <c r="Q646" i="10"/>
  <c r="P646" i="10"/>
  <c r="Q645" i="10"/>
  <c r="P645" i="10"/>
  <c r="Q644" i="10"/>
  <c r="P644" i="10"/>
  <c r="Q643" i="10"/>
  <c r="P643" i="10"/>
  <c r="Q642" i="10"/>
  <c r="P642" i="10"/>
  <c r="Q641" i="10"/>
  <c r="P641" i="10"/>
  <c r="Q640" i="10"/>
  <c r="P640" i="10"/>
  <c r="Q639" i="10"/>
  <c r="P639" i="10"/>
  <c r="Q638" i="10"/>
  <c r="P638" i="10"/>
  <c r="Q637" i="10"/>
  <c r="P637" i="10"/>
  <c r="Q636" i="10"/>
  <c r="P636" i="10"/>
  <c r="Q635" i="10"/>
  <c r="P635" i="10"/>
  <c r="Q634" i="10"/>
  <c r="P634" i="10"/>
  <c r="Q633" i="10"/>
  <c r="P633" i="10"/>
  <c r="Q632" i="10"/>
  <c r="P632" i="10"/>
  <c r="Q631" i="10"/>
  <c r="P631" i="10"/>
  <c r="Q630" i="10"/>
  <c r="P630" i="10"/>
  <c r="Q629" i="10"/>
  <c r="P629" i="10"/>
  <c r="Q628" i="10"/>
  <c r="P628" i="10"/>
  <c r="Q627" i="10"/>
  <c r="P627" i="10"/>
  <c r="Q626" i="10"/>
  <c r="P626" i="10"/>
  <c r="Q625" i="10"/>
  <c r="P625" i="10"/>
  <c r="Q624" i="10"/>
  <c r="P624" i="10"/>
  <c r="Q623" i="10"/>
  <c r="P623" i="10"/>
  <c r="Q622" i="10"/>
  <c r="P622" i="10"/>
  <c r="Q621" i="10"/>
  <c r="P621" i="10"/>
  <c r="Q620" i="10"/>
  <c r="P620" i="10"/>
  <c r="Q619" i="10"/>
  <c r="P619" i="10"/>
  <c r="Q618" i="10"/>
  <c r="P618" i="10"/>
  <c r="Q617" i="10"/>
  <c r="P617" i="10"/>
  <c r="Q616" i="10"/>
  <c r="P616" i="10"/>
  <c r="Q615" i="10"/>
  <c r="P615" i="10"/>
  <c r="Q614" i="10"/>
  <c r="P614" i="10"/>
  <c r="Q613" i="10"/>
  <c r="P613" i="10"/>
  <c r="Q612" i="10"/>
  <c r="P612" i="10"/>
  <c r="Q611" i="10"/>
  <c r="P611" i="10"/>
  <c r="Q610" i="10"/>
  <c r="P610" i="10"/>
  <c r="Q609" i="10"/>
  <c r="P609" i="10"/>
  <c r="Q608" i="10"/>
  <c r="P608" i="10"/>
  <c r="Q607" i="10"/>
  <c r="P607" i="10"/>
  <c r="Q606" i="10"/>
  <c r="P606" i="10"/>
  <c r="Q605" i="10"/>
  <c r="P605" i="10"/>
  <c r="Q604" i="10"/>
  <c r="P604" i="10"/>
  <c r="Q603" i="10"/>
  <c r="P603" i="10"/>
  <c r="Q602" i="10"/>
  <c r="P602" i="10"/>
  <c r="Q601" i="10"/>
  <c r="P601" i="10"/>
  <c r="Q600" i="10"/>
  <c r="P600" i="10"/>
  <c r="Q599" i="10"/>
  <c r="P599" i="10"/>
  <c r="Q598" i="10"/>
  <c r="P598" i="10"/>
  <c r="Q597" i="10"/>
  <c r="P597" i="10"/>
  <c r="Q596" i="10"/>
  <c r="P596" i="10"/>
  <c r="Q595" i="10"/>
  <c r="P595" i="10"/>
  <c r="Q594" i="10"/>
  <c r="P594" i="10"/>
  <c r="Q593" i="10"/>
  <c r="P593" i="10"/>
  <c r="Q592" i="10"/>
  <c r="P592" i="10"/>
  <c r="Q591" i="10"/>
  <c r="P591" i="10"/>
  <c r="Q590" i="10"/>
  <c r="P590" i="10"/>
  <c r="Q589" i="10"/>
  <c r="P589" i="10"/>
  <c r="Q588" i="10"/>
  <c r="P588" i="10"/>
  <c r="Q587" i="10"/>
  <c r="P587" i="10"/>
  <c r="Q586" i="10"/>
  <c r="P586" i="10"/>
  <c r="Q585" i="10"/>
  <c r="P585" i="10"/>
  <c r="Q584" i="10"/>
  <c r="P584" i="10"/>
  <c r="Q583" i="10"/>
  <c r="P583" i="10"/>
  <c r="Q582" i="10"/>
  <c r="P582" i="10"/>
  <c r="Q581" i="10"/>
  <c r="P581" i="10"/>
  <c r="Q580" i="10"/>
  <c r="P580" i="10"/>
  <c r="Q579" i="10"/>
  <c r="P579" i="10"/>
  <c r="Q578" i="10"/>
  <c r="P578" i="10"/>
  <c r="Q577" i="10"/>
  <c r="P577" i="10"/>
  <c r="Q576" i="10"/>
  <c r="P576" i="10"/>
  <c r="Q575" i="10"/>
  <c r="P575" i="10"/>
  <c r="Q574" i="10"/>
  <c r="P574" i="10"/>
  <c r="Q573" i="10"/>
  <c r="P573" i="10"/>
  <c r="Q572" i="10"/>
  <c r="P572" i="10"/>
  <c r="Q571" i="10"/>
  <c r="P571" i="10"/>
  <c r="Q570" i="10"/>
  <c r="P570" i="10"/>
  <c r="Q569" i="10"/>
  <c r="P569" i="10"/>
  <c r="Q568" i="10"/>
  <c r="P568" i="10"/>
  <c r="Q567" i="10"/>
  <c r="P567" i="10"/>
  <c r="Q566" i="10"/>
  <c r="P566" i="10"/>
  <c r="Q565" i="10"/>
  <c r="P565" i="10"/>
  <c r="Q564" i="10"/>
  <c r="P564" i="10"/>
  <c r="Q563" i="10"/>
  <c r="P563" i="10"/>
  <c r="Q562" i="10"/>
  <c r="P562" i="10"/>
  <c r="Q561" i="10"/>
  <c r="P561" i="10"/>
  <c r="Q560" i="10"/>
  <c r="P560" i="10"/>
  <c r="Q559" i="10"/>
  <c r="P559" i="10"/>
  <c r="Q558" i="10"/>
  <c r="P558" i="10"/>
  <c r="Q557" i="10"/>
  <c r="P557" i="10"/>
  <c r="Q556" i="10"/>
  <c r="P556" i="10"/>
  <c r="Q555" i="10"/>
  <c r="P555" i="10"/>
  <c r="Q554" i="10"/>
  <c r="P554" i="10"/>
  <c r="Q553" i="10"/>
  <c r="P553" i="10"/>
  <c r="Q552" i="10"/>
  <c r="P552" i="10"/>
  <c r="Q551" i="10"/>
  <c r="P551" i="10"/>
  <c r="Q550" i="10"/>
  <c r="P550" i="10"/>
  <c r="Q549" i="10"/>
  <c r="P549" i="10"/>
  <c r="Q548" i="10"/>
  <c r="P548" i="10"/>
  <c r="Q547" i="10"/>
  <c r="P547" i="10"/>
  <c r="Q546" i="10"/>
  <c r="P546" i="10"/>
  <c r="Q545" i="10"/>
  <c r="P545" i="10"/>
  <c r="Q544" i="10"/>
  <c r="P544" i="10"/>
  <c r="Q543" i="10"/>
  <c r="P543" i="10"/>
  <c r="Q542" i="10"/>
  <c r="P542" i="10"/>
  <c r="Q541" i="10"/>
  <c r="P541" i="10"/>
  <c r="Q540" i="10"/>
  <c r="P540" i="10"/>
  <c r="Q539" i="10"/>
  <c r="P539" i="10"/>
  <c r="Q538" i="10"/>
  <c r="P538" i="10"/>
  <c r="Q537" i="10"/>
  <c r="P537" i="10"/>
  <c r="Q536" i="10"/>
  <c r="P536" i="10"/>
  <c r="Q535" i="10"/>
  <c r="P535" i="10"/>
  <c r="Q534" i="10"/>
  <c r="P534" i="10"/>
  <c r="Q533" i="10"/>
  <c r="P533" i="10"/>
  <c r="Q532" i="10"/>
  <c r="P532" i="10"/>
  <c r="Q531" i="10"/>
  <c r="P531" i="10"/>
  <c r="Q530" i="10"/>
  <c r="P530" i="10"/>
  <c r="Q529" i="10"/>
  <c r="P529" i="10"/>
  <c r="Q528" i="10"/>
  <c r="P528" i="10"/>
  <c r="Q527" i="10"/>
  <c r="P527" i="10"/>
  <c r="Q526" i="10"/>
  <c r="P526" i="10"/>
  <c r="Q525" i="10"/>
  <c r="P525" i="10"/>
  <c r="Q524" i="10"/>
  <c r="P524" i="10"/>
  <c r="Q523" i="10"/>
  <c r="P523" i="10"/>
  <c r="Q522" i="10"/>
  <c r="P522" i="10"/>
  <c r="Q521" i="10"/>
  <c r="P521" i="10"/>
  <c r="Q520" i="10"/>
  <c r="P520" i="10"/>
  <c r="Q519" i="10"/>
  <c r="P519" i="10"/>
  <c r="Q518" i="10"/>
  <c r="P518" i="10"/>
  <c r="Q517" i="10"/>
  <c r="P517" i="10"/>
  <c r="Q516" i="10"/>
  <c r="P516" i="10"/>
  <c r="Q515" i="10"/>
  <c r="P515" i="10"/>
  <c r="Q514" i="10"/>
  <c r="P514" i="10"/>
  <c r="Q513" i="10"/>
  <c r="P513" i="10"/>
  <c r="Q512" i="10"/>
  <c r="P512" i="10"/>
  <c r="Q511" i="10"/>
  <c r="P511" i="10"/>
  <c r="Q510" i="10"/>
  <c r="P510" i="10"/>
  <c r="Q509" i="10"/>
  <c r="P509" i="10"/>
  <c r="Q508" i="10"/>
  <c r="P508" i="10"/>
  <c r="Q507" i="10"/>
  <c r="P507" i="10"/>
  <c r="Q506" i="10"/>
  <c r="P506" i="10"/>
  <c r="Q505" i="10"/>
  <c r="P505" i="10"/>
  <c r="Q504" i="10"/>
  <c r="P504" i="10"/>
  <c r="Q503" i="10"/>
  <c r="P503" i="10"/>
  <c r="Q502" i="10"/>
  <c r="P502" i="10"/>
  <c r="Q501" i="10"/>
  <c r="P501" i="10"/>
  <c r="Q500" i="10"/>
  <c r="P500" i="10"/>
  <c r="Q499" i="10"/>
  <c r="P499" i="10"/>
  <c r="Q498" i="10"/>
  <c r="P498" i="10"/>
  <c r="Q497" i="10"/>
  <c r="P497" i="10"/>
  <c r="Q496" i="10"/>
  <c r="P496" i="10"/>
  <c r="Q495" i="10"/>
  <c r="P495" i="10"/>
  <c r="Q494" i="10"/>
  <c r="P494" i="10"/>
  <c r="Q493" i="10"/>
  <c r="P493" i="10"/>
  <c r="Q492" i="10"/>
  <c r="P492" i="10"/>
  <c r="Q491" i="10"/>
  <c r="P491" i="10"/>
  <c r="Q490" i="10"/>
  <c r="P490" i="10"/>
  <c r="Q489" i="10"/>
  <c r="P489" i="10"/>
  <c r="Q488" i="10"/>
  <c r="P488" i="10"/>
  <c r="Q487" i="10"/>
  <c r="P487" i="10"/>
  <c r="Q486" i="10"/>
  <c r="P486" i="10"/>
  <c r="Q485" i="10"/>
  <c r="P485" i="10"/>
  <c r="Q484" i="10"/>
  <c r="P484" i="10"/>
  <c r="Q483" i="10"/>
  <c r="P483" i="10"/>
  <c r="Q482" i="10"/>
  <c r="P482" i="10"/>
  <c r="Q481" i="10"/>
  <c r="P481" i="10"/>
  <c r="Q480" i="10"/>
  <c r="P480" i="10"/>
  <c r="Q479" i="10"/>
  <c r="P479" i="10"/>
  <c r="Q478" i="10"/>
  <c r="P478" i="10"/>
  <c r="Q477" i="10"/>
  <c r="P477" i="10"/>
  <c r="Q476" i="10"/>
  <c r="P476" i="10"/>
  <c r="Q475" i="10"/>
  <c r="P475" i="10"/>
  <c r="Q474" i="10"/>
  <c r="P474" i="10"/>
  <c r="Q473" i="10"/>
  <c r="P473" i="10"/>
  <c r="Q472" i="10"/>
  <c r="P472" i="10"/>
  <c r="Q471" i="10"/>
  <c r="P471" i="10"/>
  <c r="Q470" i="10"/>
  <c r="P470" i="10"/>
  <c r="Q469" i="10"/>
  <c r="P469" i="10"/>
  <c r="Q468" i="10"/>
  <c r="P468" i="10"/>
  <c r="Q467" i="10"/>
  <c r="P467" i="10"/>
  <c r="Q466" i="10"/>
  <c r="P466" i="10"/>
  <c r="Q465" i="10"/>
  <c r="P465" i="10"/>
  <c r="Q464" i="10"/>
  <c r="P464" i="10"/>
  <c r="Q463" i="10"/>
  <c r="P463" i="10"/>
  <c r="Q462" i="10"/>
  <c r="P462" i="10"/>
  <c r="Q461" i="10"/>
  <c r="P461" i="10"/>
  <c r="Q460" i="10"/>
  <c r="P460" i="10"/>
  <c r="Q459" i="10"/>
  <c r="P459" i="10"/>
  <c r="Q458" i="10"/>
  <c r="P458" i="10"/>
  <c r="Q457" i="10"/>
  <c r="P457" i="10"/>
  <c r="Q456" i="10"/>
  <c r="P456" i="10"/>
  <c r="Q455" i="10"/>
  <c r="P455" i="10"/>
  <c r="Q454" i="10"/>
  <c r="P454" i="10"/>
  <c r="Q453" i="10"/>
  <c r="P453" i="10"/>
  <c r="Q452" i="10"/>
  <c r="P452" i="10"/>
  <c r="Q451" i="10"/>
  <c r="P451" i="10"/>
  <c r="Q450" i="10"/>
  <c r="P450" i="10"/>
  <c r="Q449" i="10"/>
  <c r="P449" i="10"/>
  <c r="Q448" i="10"/>
  <c r="P448" i="10"/>
  <c r="Q447" i="10"/>
  <c r="P447" i="10"/>
  <c r="Q446" i="10"/>
  <c r="P446" i="10"/>
  <c r="Q445" i="10"/>
  <c r="P445" i="10"/>
  <c r="Q444" i="10"/>
  <c r="P444" i="10"/>
  <c r="Q443" i="10"/>
  <c r="P443" i="10"/>
  <c r="Q442" i="10"/>
  <c r="P442" i="10"/>
  <c r="Q441" i="10"/>
  <c r="P441" i="10"/>
  <c r="Q440" i="10"/>
  <c r="P440" i="10"/>
  <c r="Q439" i="10"/>
  <c r="P439" i="10"/>
  <c r="Q438" i="10"/>
  <c r="P438" i="10"/>
  <c r="Q437" i="10"/>
  <c r="P437" i="10"/>
  <c r="Q436" i="10"/>
  <c r="P436" i="10"/>
  <c r="Q435" i="10"/>
  <c r="P435" i="10"/>
  <c r="Q434" i="10"/>
  <c r="P434" i="10"/>
  <c r="Q433" i="10"/>
  <c r="P433" i="10"/>
  <c r="Q432" i="10"/>
  <c r="P432" i="10"/>
  <c r="Q431" i="10"/>
  <c r="P431" i="10"/>
  <c r="Q430" i="10"/>
  <c r="P430" i="10"/>
  <c r="Q429" i="10"/>
  <c r="P429" i="10"/>
  <c r="Q428" i="10"/>
  <c r="P428" i="10"/>
  <c r="Q427" i="10"/>
  <c r="P427" i="10"/>
  <c r="Q426" i="10"/>
  <c r="P426" i="10"/>
  <c r="Q425" i="10"/>
  <c r="P425" i="10"/>
  <c r="Q424" i="10"/>
  <c r="P424" i="10"/>
  <c r="Q423" i="10"/>
  <c r="P423" i="10"/>
  <c r="Q422" i="10"/>
  <c r="P422" i="10"/>
  <c r="Q421" i="10"/>
  <c r="P421" i="10"/>
  <c r="Q420" i="10"/>
  <c r="P420" i="10"/>
  <c r="Q419" i="10"/>
  <c r="P419" i="10"/>
  <c r="Q418" i="10"/>
  <c r="P418" i="10"/>
  <c r="Q417" i="10"/>
  <c r="P417" i="10"/>
  <c r="Q416" i="10"/>
  <c r="P416" i="10"/>
  <c r="Q415" i="10"/>
  <c r="P415" i="10"/>
  <c r="Q414" i="10"/>
  <c r="P414" i="10"/>
  <c r="Q413" i="10"/>
  <c r="P413" i="10"/>
  <c r="Q412" i="10"/>
  <c r="P412" i="10"/>
  <c r="Q411" i="10"/>
  <c r="P411" i="10"/>
  <c r="Q410" i="10"/>
  <c r="P410" i="10"/>
  <c r="Q409" i="10"/>
  <c r="P409" i="10"/>
  <c r="Q408" i="10"/>
  <c r="P408" i="10"/>
  <c r="Q407" i="10"/>
  <c r="P407" i="10"/>
  <c r="Q406" i="10"/>
  <c r="P406" i="10"/>
  <c r="Q405" i="10"/>
  <c r="P405" i="10"/>
  <c r="Q404" i="10"/>
  <c r="P404" i="10"/>
  <c r="Q403" i="10"/>
  <c r="P403" i="10"/>
  <c r="Q402" i="10"/>
  <c r="P402" i="10"/>
  <c r="Q401" i="10"/>
  <c r="P401" i="10"/>
  <c r="Q400" i="10"/>
  <c r="P400" i="10"/>
  <c r="Q399" i="10"/>
  <c r="P399" i="10"/>
  <c r="Q398" i="10"/>
  <c r="P398" i="10"/>
  <c r="Q397" i="10"/>
  <c r="P397" i="10"/>
  <c r="Q396" i="10"/>
  <c r="P396" i="10"/>
  <c r="Q395" i="10"/>
  <c r="P395" i="10"/>
  <c r="Q394" i="10"/>
  <c r="P394" i="10"/>
  <c r="Q393" i="10"/>
  <c r="P393" i="10"/>
  <c r="Q392" i="10"/>
  <c r="P392" i="10"/>
  <c r="Q391" i="10"/>
  <c r="P391" i="10"/>
  <c r="Q390" i="10"/>
  <c r="P390" i="10"/>
  <c r="Q389" i="10"/>
  <c r="P389" i="10"/>
  <c r="Q388" i="10"/>
  <c r="P388" i="10"/>
  <c r="Q387" i="10"/>
  <c r="P387" i="10"/>
  <c r="Q386" i="10"/>
  <c r="P386" i="10"/>
  <c r="Q385" i="10"/>
  <c r="P385" i="10"/>
  <c r="Q384" i="10"/>
  <c r="P384" i="10"/>
  <c r="Q383" i="10"/>
  <c r="P383" i="10"/>
  <c r="Q382" i="10"/>
  <c r="P382" i="10"/>
  <c r="Q381" i="10"/>
  <c r="P381" i="10"/>
  <c r="Q380" i="10"/>
  <c r="P380" i="10"/>
  <c r="Q379" i="10"/>
  <c r="P379" i="10"/>
  <c r="Q378" i="10"/>
  <c r="P378" i="10"/>
  <c r="Q377" i="10"/>
  <c r="P377" i="10"/>
  <c r="Q376" i="10"/>
  <c r="P376" i="10"/>
  <c r="Q375" i="10"/>
  <c r="P375" i="10"/>
  <c r="Q374" i="10"/>
  <c r="P374" i="10"/>
  <c r="Q373" i="10"/>
  <c r="P373" i="10"/>
  <c r="Q372" i="10"/>
  <c r="P372" i="10"/>
  <c r="Q371" i="10"/>
  <c r="P371" i="10"/>
  <c r="Q370" i="10"/>
  <c r="P370" i="10"/>
  <c r="Q369" i="10"/>
  <c r="P369" i="10"/>
  <c r="Q368" i="10"/>
  <c r="P368" i="10"/>
  <c r="Q367" i="10"/>
  <c r="P367" i="10"/>
  <c r="Q366" i="10"/>
  <c r="P366" i="10"/>
  <c r="Q365" i="10"/>
  <c r="P365" i="10"/>
  <c r="Q364" i="10"/>
  <c r="P364" i="10"/>
  <c r="Q363" i="10"/>
  <c r="P363" i="10"/>
  <c r="Q362" i="10"/>
  <c r="P362" i="10"/>
  <c r="Q361" i="10"/>
  <c r="P361" i="10"/>
  <c r="Q360" i="10"/>
  <c r="P360" i="10"/>
  <c r="Q359" i="10"/>
  <c r="P359" i="10"/>
  <c r="Q358" i="10"/>
  <c r="P358" i="10"/>
  <c r="Q357" i="10"/>
  <c r="P357" i="10"/>
  <c r="Q356" i="10"/>
  <c r="P356" i="10"/>
  <c r="Q355" i="10"/>
  <c r="P355" i="10"/>
  <c r="Q354" i="10"/>
  <c r="P354" i="10"/>
  <c r="Q353" i="10"/>
  <c r="P353" i="10"/>
  <c r="Q352" i="10"/>
  <c r="P352" i="10"/>
  <c r="Q351" i="10"/>
  <c r="P351" i="10"/>
  <c r="Q350" i="10"/>
  <c r="P350" i="10"/>
  <c r="Q349" i="10"/>
  <c r="P349" i="10"/>
  <c r="Q348" i="10"/>
  <c r="P348" i="10"/>
  <c r="Q347" i="10"/>
  <c r="P347" i="10"/>
  <c r="Q346" i="10"/>
  <c r="P346" i="10"/>
  <c r="Q345" i="10"/>
  <c r="P345" i="10"/>
  <c r="Q344" i="10"/>
  <c r="P344" i="10"/>
  <c r="Q343" i="10"/>
  <c r="P343" i="10"/>
  <c r="Q342" i="10"/>
  <c r="P342" i="10"/>
  <c r="Q341" i="10"/>
  <c r="P341" i="10"/>
  <c r="Q340" i="10"/>
  <c r="P340" i="10"/>
  <c r="Q339" i="10"/>
  <c r="P339" i="10"/>
  <c r="Q338" i="10"/>
  <c r="P338" i="10"/>
  <c r="Q337" i="10"/>
  <c r="P337" i="10"/>
  <c r="Q336" i="10"/>
  <c r="P336" i="10"/>
  <c r="Q335" i="10"/>
  <c r="P335" i="10"/>
  <c r="Q334" i="10"/>
  <c r="P334" i="10"/>
  <c r="Q333" i="10"/>
  <c r="P333" i="10"/>
  <c r="Q332" i="10"/>
  <c r="P332" i="10"/>
  <c r="Q331" i="10"/>
  <c r="P331" i="10"/>
  <c r="Q330" i="10"/>
  <c r="P330" i="10"/>
  <c r="Q329" i="10"/>
  <c r="P329" i="10"/>
  <c r="Q328" i="10"/>
  <c r="P328" i="10"/>
  <c r="Q327" i="10"/>
  <c r="P327" i="10"/>
  <c r="Q326" i="10"/>
  <c r="P326" i="10"/>
  <c r="Q325" i="10"/>
  <c r="P325" i="10"/>
  <c r="Q324" i="10"/>
  <c r="P324" i="10"/>
  <c r="Q323" i="10"/>
  <c r="P323" i="10"/>
  <c r="Q322" i="10"/>
  <c r="P322" i="10"/>
  <c r="Q321" i="10"/>
  <c r="P321" i="10"/>
  <c r="Q320" i="10"/>
  <c r="P320" i="10"/>
  <c r="Q319" i="10"/>
  <c r="P319" i="10"/>
  <c r="Q318" i="10"/>
  <c r="P318" i="10"/>
  <c r="Q317" i="10"/>
  <c r="P317" i="10"/>
  <c r="Q316" i="10"/>
  <c r="P316" i="10"/>
  <c r="Q315" i="10"/>
  <c r="P315" i="10"/>
  <c r="Q314" i="10"/>
  <c r="P314" i="10"/>
  <c r="Q313" i="10"/>
  <c r="P313" i="10"/>
  <c r="Q312" i="10"/>
  <c r="P312" i="10"/>
  <c r="Q311" i="10"/>
  <c r="P311" i="10"/>
  <c r="Q310" i="10"/>
  <c r="P310" i="10"/>
  <c r="Q309" i="10"/>
  <c r="P309" i="10"/>
  <c r="Q308" i="10"/>
  <c r="P308" i="10"/>
  <c r="Q307" i="10"/>
  <c r="P307" i="10"/>
  <c r="Q306" i="10"/>
  <c r="P306" i="10"/>
  <c r="Q305" i="10"/>
  <c r="P305" i="10"/>
  <c r="Q304" i="10"/>
  <c r="P304" i="10"/>
  <c r="Q303" i="10"/>
  <c r="P303" i="10"/>
  <c r="Q302" i="10"/>
  <c r="P302" i="10"/>
  <c r="Q301" i="10"/>
  <c r="P301" i="10"/>
  <c r="Q300" i="10"/>
  <c r="P300" i="10"/>
  <c r="Q299" i="10"/>
  <c r="P299" i="10"/>
  <c r="Q298" i="10"/>
  <c r="P298" i="10"/>
  <c r="Q297" i="10"/>
  <c r="P297" i="10"/>
  <c r="Q296" i="10"/>
  <c r="P296" i="10"/>
  <c r="Q295" i="10"/>
  <c r="P295" i="10"/>
  <c r="Q294" i="10"/>
  <c r="P294" i="10"/>
  <c r="Q293" i="10"/>
  <c r="P293" i="10"/>
  <c r="Q292" i="10"/>
  <c r="P292" i="10"/>
  <c r="Q291" i="10"/>
  <c r="P291" i="10"/>
  <c r="Q290" i="10"/>
  <c r="P290" i="10"/>
  <c r="Q289" i="10"/>
  <c r="P289" i="10"/>
  <c r="Q288" i="10"/>
  <c r="P288" i="10"/>
  <c r="Q287" i="10"/>
  <c r="P287" i="10"/>
  <c r="Q286" i="10"/>
  <c r="P286" i="10"/>
  <c r="Q285" i="10"/>
  <c r="P285" i="10"/>
  <c r="Q284" i="10"/>
  <c r="P284" i="10"/>
  <c r="Q283" i="10"/>
  <c r="P283" i="10"/>
  <c r="Q282" i="10"/>
  <c r="P282" i="10"/>
  <c r="Q281" i="10"/>
  <c r="P281" i="10"/>
  <c r="Q280" i="10"/>
  <c r="P280" i="10"/>
  <c r="Q279" i="10"/>
  <c r="P279" i="10"/>
  <c r="Q278" i="10"/>
  <c r="P278" i="10"/>
  <c r="Q277" i="10"/>
  <c r="P277" i="10"/>
  <c r="Q276" i="10"/>
  <c r="P276" i="10"/>
  <c r="Q275" i="10"/>
  <c r="P275" i="10"/>
  <c r="Y14" i="10"/>
  <c r="X14" i="10"/>
  <c r="W14" i="10"/>
  <c r="W10" i="10"/>
  <c r="U10" i="10"/>
  <c r="T10" i="10"/>
  <c r="U8" i="10"/>
  <c r="T8" i="10"/>
  <c r="M8" i="10"/>
  <c r="N8" i="10" s="1"/>
  <c r="I8" i="10"/>
  <c r="H8" i="10"/>
  <c r="D8" i="10"/>
  <c r="Y7" i="10"/>
  <c r="X7" i="10"/>
  <c r="W7" i="10"/>
  <c r="M7" i="10"/>
  <c r="N7" i="10" s="1"/>
  <c r="I7" i="10"/>
  <c r="H7" i="10"/>
  <c r="D7" i="10"/>
  <c r="X10" i="10" l="1"/>
  <c r="P12" i="10"/>
  <c r="B7" i="6" s="1"/>
  <c r="P8" i="10"/>
  <c r="B3" i="6" s="1"/>
  <c r="Y11" i="10"/>
  <c r="Y6" i="10" s="1"/>
  <c r="X11" i="10"/>
  <c r="X6" i="10" s="1"/>
  <c r="W11" i="10"/>
  <c r="Y12" i="10" s="1"/>
  <c r="P7" i="10"/>
  <c r="B2" i="6" s="1"/>
  <c r="P11" i="10"/>
  <c r="B6" i="6" s="1"/>
  <c r="P9" i="10"/>
  <c r="B4" i="6" s="1"/>
  <c r="P10" i="10"/>
  <c r="B5" i="6" s="1"/>
  <c r="Y10" i="10"/>
  <c r="W12" i="10" l="1"/>
  <c r="Y15" i="10"/>
  <c r="X8" i="10"/>
  <c r="W8" i="10"/>
  <c r="W15" i="10"/>
  <c r="Y8" i="10"/>
  <c r="W6" i="10"/>
  <c r="X12" i="10"/>
  <c r="X9" i="10" s="1"/>
  <c r="X15" i="10"/>
  <c r="Y9" i="10"/>
  <c r="Y5" i="10" l="1"/>
  <c r="X5" i="10"/>
  <c r="F54" i="10" s="1"/>
  <c r="W5" i="10"/>
  <c r="E1374" i="10" s="1"/>
  <c r="W9" i="10"/>
  <c r="E198" i="10"/>
  <c r="H141" i="10"/>
  <c r="H222" i="10"/>
  <c r="E1078" i="10"/>
  <c r="M236" i="10"/>
  <c r="M120" i="10"/>
  <c r="E132" i="10"/>
  <c r="E259" i="10"/>
  <c r="M155" i="10"/>
  <c r="M69" i="10"/>
  <c r="E44" i="10"/>
  <c r="J14" i="10"/>
  <c r="E266" i="10"/>
  <c r="H133" i="10"/>
  <c r="E73" i="10"/>
  <c r="I46" i="10"/>
  <c r="I43" i="10"/>
  <c r="I28" i="10"/>
  <c r="H11" i="10"/>
  <c r="E518" i="10"/>
  <c r="M127" i="10"/>
  <c r="E107" i="10"/>
  <c r="H27" i="10"/>
  <c r="H23" i="10"/>
  <c r="H21" i="10"/>
  <c r="H16" i="10"/>
  <c r="E320" i="10"/>
  <c r="M157" i="10"/>
  <c r="E920" i="10"/>
  <c r="E897" i="10"/>
  <c r="E201" i="10"/>
  <c r="J46" i="10"/>
  <c r="J55" i="10"/>
  <c r="J52" i="10"/>
  <c r="M29" i="10"/>
  <c r="E62" i="10"/>
  <c r="E432" i="10"/>
  <c r="H12" i="10"/>
  <c r="M54" i="10"/>
  <c r="E112" i="10"/>
  <c r="J39" i="10"/>
  <c r="J23" i="10"/>
  <c r="M15" i="10"/>
  <c r="E68" i="10"/>
  <c r="J15" i="10"/>
  <c r="E75" i="10"/>
  <c r="E289" i="10"/>
  <c r="E270" i="10"/>
  <c r="I133" i="10"/>
  <c r="M53" i="10"/>
  <c r="J40" i="10"/>
  <c r="J32" i="10"/>
  <c r="J24" i="10"/>
  <c r="J20" i="10"/>
  <c r="J16" i="10"/>
  <c r="E789" i="10"/>
  <c r="J51" i="10"/>
  <c r="M46" i="10"/>
  <c r="M58" i="10"/>
  <c r="E91" i="10"/>
  <c r="M232" i="10"/>
  <c r="E108" i="10"/>
  <c r="J56" i="10"/>
  <c r="M55" i="10"/>
  <c r="J45" i="10"/>
  <c r="M34" i="10"/>
  <c r="M22" i="10"/>
  <c r="E169" i="10"/>
  <c r="M63" i="10"/>
  <c r="E61" i="10"/>
  <c r="M36" i="10"/>
  <c r="M194" i="10"/>
  <c r="E159" i="10"/>
  <c r="J133" i="10"/>
  <c r="E113" i="10"/>
  <c r="F11" i="10"/>
  <c r="F55" i="10"/>
  <c r="F65" i="10"/>
  <c r="F173" i="10"/>
  <c r="F195" i="10"/>
  <c r="F214" i="10"/>
  <c r="F246" i="10"/>
  <c r="F91" i="10"/>
  <c r="F62" i="10"/>
  <c r="F22" i="10"/>
  <c r="F38" i="10"/>
  <c r="F123" i="10"/>
  <c r="F179" i="10"/>
  <c r="F159" i="10"/>
  <c r="F156" i="10"/>
  <c r="F240" i="10"/>
  <c r="F206" i="10"/>
  <c r="F250" i="10"/>
  <c r="F39" i="10"/>
  <c r="F161" i="10"/>
  <c r="F114" i="10"/>
  <c r="F102" i="10"/>
  <c r="F40" i="10"/>
  <c r="F270" i="10"/>
  <c r="F69" i="10"/>
  <c r="F73" i="10"/>
  <c r="F216" i="10"/>
  <c r="F189" i="10"/>
  <c r="F199" i="10"/>
  <c r="F203" i="10"/>
  <c r="D1494" i="10"/>
  <c r="D1486" i="10"/>
  <c r="D1478" i="10"/>
  <c r="D1470" i="10"/>
  <c r="D1462" i="10"/>
  <c r="D1454" i="10"/>
  <c r="D1446" i="10"/>
  <c r="D1438" i="10"/>
  <c r="D1430" i="10"/>
  <c r="D1422" i="10"/>
  <c r="D1414" i="10"/>
  <c r="D1406" i="10"/>
  <c r="D1398" i="10"/>
  <c r="D1390" i="10"/>
  <c r="D1382" i="10"/>
  <c r="D1374" i="10"/>
  <c r="D1366" i="10"/>
  <c r="D1358" i="10"/>
  <c r="D1350" i="10"/>
  <c r="D1342" i="10"/>
  <c r="D1334" i="10"/>
  <c r="D1326" i="10"/>
  <c r="D1318" i="10"/>
  <c r="D1310" i="10"/>
  <c r="D1491" i="10"/>
  <c r="D1483" i="10"/>
  <c r="D1475" i="10"/>
  <c r="D1467" i="10"/>
  <c r="D1459" i="10"/>
  <c r="D1451" i="10"/>
  <c r="D1443" i="10"/>
  <c r="D1435" i="10"/>
  <c r="D1427" i="10"/>
  <c r="D1419" i="10"/>
  <c r="D1411" i="10"/>
  <c r="D1403" i="10"/>
  <c r="D1395" i="10"/>
  <c r="D1387" i="10"/>
  <c r="D1379" i="10"/>
  <c r="D1371" i="10"/>
  <c r="D1363" i="10"/>
  <c r="D1355" i="10"/>
  <c r="D1347" i="10"/>
  <c r="D1339" i="10"/>
  <c r="D1331" i="10"/>
  <c r="D1323" i="10"/>
  <c r="D1315" i="10"/>
  <c r="D1307" i="10"/>
  <c r="D1299" i="10"/>
  <c r="D1479" i="10"/>
  <c r="D1472" i="10"/>
  <c r="D1452" i="10"/>
  <c r="D1445" i="10"/>
  <c r="D1415" i="10"/>
  <c r="D1408" i="10"/>
  <c r="D1388" i="10"/>
  <c r="D1381" i="10"/>
  <c r="D1351" i="10"/>
  <c r="D1344" i="10"/>
  <c r="D1324" i="10"/>
  <c r="D1317" i="10"/>
  <c r="D1489" i="10"/>
  <c r="D1482" i="10"/>
  <c r="D1425" i="10"/>
  <c r="D1418" i="10"/>
  <c r="D1361" i="10"/>
  <c r="D1354" i="10"/>
  <c r="D1304" i="10"/>
  <c r="D1301" i="10"/>
  <c r="D1298" i="10"/>
  <c r="D1287" i="10"/>
  <c r="D1279" i="10"/>
  <c r="D1271" i="10"/>
  <c r="D1263" i="10"/>
  <c r="D1255" i="10"/>
  <c r="D1247" i="10"/>
  <c r="D1239" i="10"/>
  <c r="D1231" i="10"/>
  <c r="D1223" i="10"/>
  <c r="D1215" i="10"/>
  <c r="D1207" i="10"/>
  <c r="D1199" i="10"/>
  <c r="D1191" i="10"/>
  <c r="D1183" i="10"/>
  <c r="D1175" i="10"/>
  <c r="D1167" i="10"/>
  <c r="D1492" i="10"/>
  <c r="D1485" i="10"/>
  <c r="D1455" i="10"/>
  <c r="D1448" i="10"/>
  <c r="D1428" i="10"/>
  <c r="D1421" i="10"/>
  <c r="D1391" i="10"/>
  <c r="D1384" i="10"/>
  <c r="D1364" i="10"/>
  <c r="D1357" i="10"/>
  <c r="D1327" i="10"/>
  <c r="D1320" i="10"/>
  <c r="D1465" i="10"/>
  <c r="D1458" i="10"/>
  <c r="D1401" i="10"/>
  <c r="D1394" i="10"/>
  <c r="D1337" i="10"/>
  <c r="D1330" i="10"/>
  <c r="D1295" i="10"/>
  <c r="D1292" i="10"/>
  <c r="D1284" i="10"/>
  <c r="D1276" i="10"/>
  <c r="D1268" i="10"/>
  <c r="D1260" i="10"/>
  <c r="D1252" i="10"/>
  <c r="D1244" i="10"/>
  <c r="D1236" i="10"/>
  <c r="D1228" i="10"/>
  <c r="D1220" i="10"/>
  <c r="D1212" i="10"/>
  <c r="D1204" i="10"/>
  <c r="D1196" i="10"/>
  <c r="D1188" i="10"/>
  <c r="D1180" i="10"/>
  <c r="D1172" i="10"/>
  <c r="D1493" i="10"/>
  <c r="D1463" i="10"/>
  <c r="D1456" i="10"/>
  <c r="D1436" i="10"/>
  <c r="D1429" i="10"/>
  <c r="D1399" i="10"/>
  <c r="D1392" i="10"/>
  <c r="D1372" i="10"/>
  <c r="D1365" i="10"/>
  <c r="D1335" i="10"/>
  <c r="D1328" i="10"/>
  <c r="D1308" i="10"/>
  <c r="D1473" i="10"/>
  <c r="D1466" i="10"/>
  <c r="D1409" i="10"/>
  <c r="D1402" i="10"/>
  <c r="D1345" i="10"/>
  <c r="D1338" i="10"/>
  <c r="D1302" i="10"/>
  <c r="D1296" i="10"/>
  <c r="D1468" i="10"/>
  <c r="D1417" i="10"/>
  <c r="D1386" i="10"/>
  <c r="D1370" i="10"/>
  <c r="D1348" i="10"/>
  <c r="D1286" i="10"/>
  <c r="D1222" i="10"/>
  <c r="D1155" i="10"/>
  <c r="D1147" i="10"/>
  <c r="D1139" i="10"/>
  <c r="D1131" i="10"/>
  <c r="D1123" i="10"/>
  <c r="D1115" i="10"/>
  <c r="D1107" i="10"/>
  <c r="D1099" i="10"/>
  <c r="D1091" i="10"/>
  <c r="D1083" i="10"/>
  <c r="D1075" i="10"/>
  <c r="D1067" i="10"/>
  <c r="D1059" i="10"/>
  <c r="D1051" i="10"/>
  <c r="D1495" i="10"/>
  <c r="D1426" i="10"/>
  <c r="D1378" i="10"/>
  <c r="D1352" i="10"/>
  <c r="D1343" i="10"/>
  <c r="D1269" i="10"/>
  <c r="D1266" i="10"/>
  <c r="D1259" i="10"/>
  <c r="D1256" i="10"/>
  <c r="D1249" i="10"/>
  <c r="D1209" i="10"/>
  <c r="D1169" i="10"/>
  <c r="D1166" i="10"/>
  <c r="D1481" i="10"/>
  <c r="D1450" i="10"/>
  <c r="D1434" i="10"/>
  <c r="D1412" i="10"/>
  <c r="D1309" i="10"/>
  <c r="D1262" i="10"/>
  <c r="D1190" i="10"/>
  <c r="D1181" i="10"/>
  <c r="D1152" i="10"/>
  <c r="D1144" i="10"/>
  <c r="D1136" i="10"/>
  <c r="D1128" i="10"/>
  <c r="D1120" i="10"/>
  <c r="D1112" i="10"/>
  <c r="D1104" i="10"/>
  <c r="D1096" i="10"/>
  <c r="D1088" i="10"/>
  <c r="D1080" i="10"/>
  <c r="D1490" i="10"/>
  <c r="D1442" i="10"/>
  <c r="D1416" i="10"/>
  <c r="D1407" i="10"/>
  <c r="D1325" i="10"/>
  <c r="D1313" i="10"/>
  <c r="D1289" i="10"/>
  <c r="D1245" i="10"/>
  <c r="D1242" i="10"/>
  <c r="D1235" i="10"/>
  <c r="D1232" i="10"/>
  <c r="D1225" i="10"/>
  <c r="D1193" i="10"/>
  <c r="D1187" i="10"/>
  <c r="D1184" i="10"/>
  <c r="D1178" i="10"/>
  <c r="D1163" i="10"/>
  <c r="D1160" i="10"/>
  <c r="D1469" i="10"/>
  <c r="D1423" i="10"/>
  <c r="D1400" i="10"/>
  <c r="D1340" i="10"/>
  <c r="D1294" i="10"/>
  <c r="D1270" i="10"/>
  <c r="D1182" i="10"/>
  <c r="D1173" i="10"/>
  <c r="D1413" i="10"/>
  <c r="D1396" i="10"/>
  <c r="D1383" i="10"/>
  <c r="D1375" i="10"/>
  <c r="D1367" i="10"/>
  <c r="D1253" i="10"/>
  <c r="D1250" i="10"/>
  <c r="D1243" i="10"/>
  <c r="D1240" i="10"/>
  <c r="D1233" i="10"/>
  <c r="D1213" i="10"/>
  <c r="D1210" i="10"/>
  <c r="D1487" i="10"/>
  <c r="D1464" i="10"/>
  <c r="D1404" i="10"/>
  <c r="D1353" i="10"/>
  <c r="D1322" i="10"/>
  <c r="D1306" i="10"/>
  <c r="D1297" i="10"/>
  <c r="D1246" i="10"/>
  <c r="D1410" i="10"/>
  <c r="D1281" i="10"/>
  <c r="D1277" i="10"/>
  <c r="D1230" i="10"/>
  <c r="D1068" i="10"/>
  <c r="D1065" i="10"/>
  <c r="D1474" i="10"/>
  <c r="D1447" i="10"/>
  <c r="D1437" i="10"/>
  <c r="D1368" i="10"/>
  <c r="D1293" i="10"/>
  <c r="D1258" i="10"/>
  <c r="D1226" i="10"/>
  <c r="D1201" i="10"/>
  <c r="D1062" i="10"/>
  <c r="D1056" i="10"/>
  <c r="D1039" i="10"/>
  <c r="D1031" i="10"/>
  <c r="D1023" i="10"/>
  <c r="D1015" i="10"/>
  <c r="D1007" i="10"/>
  <c r="D999" i="10"/>
  <c r="D991" i="10"/>
  <c r="D983" i="10"/>
  <c r="D975" i="10"/>
  <c r="D967" i="10"/>
  <c r="D959" i="10"/>
  <c r="D951" i="10"/>
  <c r="D943" i="10"/>
  <c r="D935" i="10"/>
  <c r="D927" i="10"/>
  <c r="D919" i="10"/>
  <c r="D911" i="10"/>
  <c r="D903" i="10"/>
  <c r="D895" i="10"/>
  <c r="D1432" i="10"/>
  <c r="D1393" i="10"/>
  <c r="D1346" i="10"/>
  <c r="D1319" i="10"/>
  <c r="D1314" i="10"/>
  <c r="D1248" i="10"/>
  <c r="D1238" i="10"/>
  <c r="D1221" i="10"/>
  <c r="D1179" i="10"/>
  <c r="D1150" i="10"/>
  <c r="D1134" i="10"/>
  <c r="D1118" i="10"/>
  <c r="D1102" i="10"/>
  <c r="D1086" i="10"/>
  <c r="D1053" i="10"/>
  <c r="D1050" i="10"/>
  <c r="D1484" i="10"/>
  <c r="D1377" i="10"/>
  <c r="D1303" i="10"/>
  <c r="D1272" i="10"/>
  <c r="D1267" i="10"/>
  <c r="D1217" i="10"/>
  <c r="D1208" i="10"/>
  <c r="D1194" i="10"/>
  <c r="D1153" i="10"/>
  <c r="D1137" i="10"/>
  <c r="D1121" i="10"/>
  <c r="D1105" i="10"/>
  <c r="D1089" i="10"/>
  <c r="D1047" i="10"/>
  <c r="D1036" i="10"/>
  <c r="D1028" i="10"/>
  <c r="D1020" i="10"/>
  <c r="D1012" i="10"/>
  <c r="D1004" i="10"/>
  <c r="D996" i="10"/>
  <c r="D988" i="10"/>
  <c r="D980" i="10"/>
  <c r="D972" i="10"/>
  <c r="D964" i="10"/>
  <c r="D956" i="10"/>
  <c r="D948" i="10"/>
  <c r="D940" i="10"/>
  <c r="D932" i="10"/>
  <c r="D924" i="10"/>
  <c r="D916" i="10"/>
  <c r="D908" i="10"/>
  <c r="D900" i="10"/>
  <c r="D892" i="10"/>
  <c r="D884" i="10"/>
  <c r="D876" i="10"/>
  <c r="D868" i="10"/>
  <c r="D860" i="10"/>
  <c r="D852" i="10"/>
  <c r="D844" i="10"/>
  <c r="D836" i="10"/>
  <c r="D1332" i="10"/>
  <c r="D1311" i="10"/>
  <c r="D1282" i="10"/>
  <c r="D1274" i="10"/>
  <c r="D1227" i="10"/>
  <c r="D1161" i="10"/>
  <c r="D1151" i="10"/>
  <c r="D1148" i="10"/>
  <c r="D1135" i="10"/>
  <c r="D1132" i="10"/>
  <c r="D1119" i="10"/>
  <c r="D1116" i="10"/>
  <c r="D1103" i="10"/>
  <c r="D1100" i="10"/>
  <c r="D1087" i="10"/>
  <c r="D1084" i="10"/>
  <c r="D1060" i="10"/>
  <c r="D1057" i="10"/>
  <c r="D1389" i="10"/>
  <c r="D1336" i="10"/>
  <c r="D1305" i="10"/>
  <c r="D1254" i="10"/>
  <c r="D1202" i="10"/>
  <c r="D1195" i="10"/>
  <c r="D1154" i="10"/>
  <c r="D1138" i="10"/>
  <c r="D1122" i="10"/>
  <c r="D1106" i="10"/>
  <c r="D1090" i="10"/>
  <c r="D1054" i="10"/>
  <c r="D1048" i="10"/>
  <c r="D1037" i="10"/>
  <c r="D1029" i="10"/>
  <c r="D1021" i="10"/>
  <c r="D1013" i="10"/>
  <c r="D1005" i="10"/>
  <c r="D1480" i="10"/>
  <c r="D1453" i="10"/>
  <c r="D1369" i="10"/>
  <c r="D1290" i="10"/>
  <c r="D1214" i="10"/>
  <c r="D1198" i="10"/>
  <c r="D1141" i="10"/>
  <c r="D1125" i="10"/>
  <c r="D1109" i="10"/>
  <c r="D1093" i="10"/>
  <c r="D1077" i="10"/>
  <c r="D1074" i="10"/>
  <c r="D1045" i="10"/>
  <c r="D1461" i="10"/>
  <c r="D1380" i="10"/>
  <c r="D1159" i="10"/>
  <c r="D1124" i="10"/>
  <c r="D1064" i="10"/>
  <c r="D1040" i="10"/>
  <c r="D1017" i="10"/>
  <c r="D1002" i="10"/>
  <c r="D995" i="10"/>
  <c r="D992" i="10"/>
  <c r="D985" i="10"/>
  <c r="D941" i="10"/>
  <c r="D938" i="10"/>
  <c r="D931" i="10"/>
  <c r="D928" i="10"/>
  <c r="D829" i="10"/>
  <c r="D821" i="10"/>
  <c r="D813" i="10"/>
  <c r="D805" i="10"/>
  <c r="D797" i="10"/>
  <c r="D789" i="10"/>
  <c r="D781" i="10"/>
  <c r="D773" i="10"/>
  <c r="D765" i="10"/>
  <c r="D757" i="10"/>
  <c r="D749" i="10"/>
  <c r="D741" i="10"/>
  <c r="D733" i="10"/>
  <c r="D725" i="10"/>
  <c r="D717" i="10"/>
  <c r="D709" i="10"/>
  <c r="D701" i="10"/>
  <c r="D1449" i="10"/>
  <c r="D1431" i="10"/>
  <c r="D1362" i="10"/>
  <c r="D1229" i="10"/>
  <c r="D1174" i="10"/>
  <c r="D1164" i="10"/>
  <c r="D1101" i="10"/>
  <c r="D1079" i="10"/>
  <c r="D998" i="10"/>
  <c r="D934" i="10"/>
  <c r="D921" i="10"/>
  <c r="D905" i="10"/>
  <c r="D872" i="10"/>
  <c r="D869" i="10"/>
  <c r="D866" i="10"/>
  <c r="D840" i="10"/>
  <c r="D837" i="10"/>
  <c r="D1424" i="10"/>
  <c r="D1405" i="10"/>
  <c r="D1356" i="10"/>
  <c r="D1251" i="10"/>
  <c r="D1224" i="10"/>
  <c r="D1219" i="10"/>
  <c r="D1114" i="10"/>
  <c r="D1097" i="10"/>
  <c r="D1055" i="10"/>
  <c r="D1043" i="10"/>
  <c r="D1032" i="10"/>
  <c r="D1009" i="10"/>
  <c r="D981" i="10"/>
  <c r="D978" i="10"/>
  <c r="D971" i="10"/>
  <c r="D968" i="10"/>
  <c r="D961" i="10"/>
  <c r="D834" i="10"/>
  <c r="D826" i="10"/>
  <c r="D818" i="10"/>
  <c r="D810" i="10"/>
  <c r="D802" i="10"/>
  <c r="D794" i="10"/>
  <c r="D786" i="10"/>
  <c r="D778" i="10"/>
  <c r="D770" i="10"/>
  <c r="D1385" i="10"/>
  <c r="D1300" i="10"/>
  <c r="D1257" i="10"/>
  <c r="D1234" i="10"/>
  <c r="D1149" i="10"/>
  <c r="D1127" i="10"/>
  <c r="D1110" i="10"/>
  <c r="D1035" i="10"/>
  <c r="D974" i="10"/>
  <c r="D889" i="10"/>
  <c r="D886" i="10"/>
  <c r="D883" i="10"/>
  <c r="D863" i="10"/>
  <c r="D857" i="10"/>
  <c r="D854" i="10"/>
  <c r="D851" i="10"/>
  <c r="D1373" i="10"/>
  <c r="D1312" i="10"/>
  <c r="D1203" i="10"/>
  <c r="D1168" i="10"/>
  <c r="D1145" i="10"/>
  <c r="D1092" i="10"/>
  <c r="D1071" i="10"/>
  <c r="D1024" i="10"/>
  <c r="D1001" i="10"/>
  <c r="D957" i="10"/>
  <c r="D954" i="10"/>
  <c r="D947" i="10"/>
  <c r="D944" i="10"/>
  <c r="D937" i="10"/>
  <c r="D831" i="10"/>
  <c r="D823" i="10"/>
  <c r="D815" i="10"/>
  <c r="D807" i="10"/>
  <c r="D799" i="10"/>
  <c r="D791" i="10"/>
  <c r="D783" i="10"/>
  <c r="D775" i="10"/>
  <c r="D767" i="10"/>
  <c r="D1433" i="10"/>
  <c r="D1216" i="10"/>
  <c r="D1205" i="10"/>
  <c r="D1200" i="10"/>
  <c r="D1185" i="10"/>
  <c r="D1098" i="10"/>
  <c r="D1081" i="10"/>
  <c r="D1061" i="10"/>
  <c r="D1044" i="10"/>
  <c r="D1033" i="10"/>
  <c r="D1018" i="10"/>
  <c r="D1014" i="10"/>
  <c r="D989" i="10"/>
  <c r="D986" i="10"/>
  <c r="D979" i="10"/>
  <c r="D976" i="10"/>
  <c r="D969" i="10"/>
  <c r="D835" i="10"/>
  <c r="D827" i="10"/>
  <c r="D819" i="10"/>
  <c r="D811" i="10"/>
  <c r="D1457" i="10"/>
  <c r="D1439" i="10"/>
  <c r="D1420" i="10"/>
  <c r="D1321" i="10"/>
  <c r="D1291" i="10"/>
  <c r="D1275" i="10"/>
  <c r="D1241" i="10"/>
  <c r="D1165" i="10"/>
  <c r="D1156" i="10"/>
  <c r="D1133" i="10"/>
  <c r="D1111" i="10"/>
  <c r="D1094" i="10"/>
  <c r="D1069" i="10"/>
  <c r="D1052" i="10"/>
  <c r="D982" i="10"/>
  <c r="D925" i="10"/>
  <c r="D922" i="10"/>
  <c r="D1288" i="10"/>
  <c r="D1177" i="10"/>
  <c r="D1076" i="10"/>
  <c r="D1066" i="10"/>
  <c r="D1049" i="10"/>
  <c r="D950" i="10"/>
  <c r="D847" i="10"/>
  <c r="D817" i="10"/>
  <c r="D800" i="10"/>
  <c r="D793" i="10"/>
  <c r="D760" i="10"/>
  <c r="D727" i="10"/>
  <c r="D724" i="10"/>
  <c r="D1333" i="10"/>
  <c r="D1218" i="10"/>
  <c r="D1206" i="10"/>
  <c r="D1142" i="10"/>
  <c r="D1010" i="10"/>
  <c r="D1000" i="10"/>
  <c r="D977" i="10"/>
  <c r="D963" i="10"/>
  <c r="D946" i="10"/>
  <c r="D915" i="10"/>
  <c r="D907" i="10"/>
  <c r="D899" i="10"/>
  <c r="D891" i="10"/>
  <c r="D861" i="10"/>
  <c r="D850" i="10"/>
  <c r="D843" i="10"/>
  <c r="D839" i="10"/>
  <c r="D766" i="10"/>
  <c r="D763" i="10"/>
  <c r="D721" i="10"/>
  <c r="D695" i="10"/>
  <c r="D687" i="10"/>
  <c r="D679" i="10"/>
  <c r="D671" i="10"/>
  <c r="D663" i="10"/>
  <c r="D655" i="10"/>
  <c r="D647" i="10"/>
  <c r="D639" i="10"/>
  <c r="D631" i="10"/>
  <c r="D623" i="10"/>
  <c r="D615" i="10"/>
  <c r="D607" i="10"/>
  <c r="D599" i="10"/>
  <c r="D591" i="10"/>
  <c r="D583" i="10"/>
  <c r="D575" i="10"/>
  <c r="D567" i="10"/>
  <c r="D559" i="10"/>
  <c r="D551" i="10"/>
  <c r="D543" i="10"/>
  <c r="D535" i="10"/>
  <c r="D527" i="10"/>
  <c r="D519" i="10"/>
  <c r="D511" i="10"/>
  <c r="D503" i="10"/>
  <c r="D1444" i="10"/>
  <c r="D1360" i="10"/>
  <c r="D1158" i="10"/>
  <c r="D1126" i="10"/>
  <c r="D1034" i="10"/>
  <c r="D1019" i="10"/>
  <c r="D923" i="10"/>
  <c r="D880" i="10"/>
  <c r="D873" i="10"/>
  <c r="D824" i="10"/>
  <c r="D803" i="10"/>
  <c r="D796" i="10"/>
  <c r="D776" i="10"/>
  <c r="D769" i="10"/>
  <c r="D718" i="10"/>
  <c r="D715" i="10"/>
  <c r="D1211" i="10"/>
  <c r="D1170" i="10"/>
  <c r="D1146" i="10"/>
  <c r="D1070" i="10"/>
  <c r="D1038" i="10"/>
  <c r="D990" i="10"/>
  <c r="D958" i="10"/>
  <c r="D820" i="10"/>
  <c r="D806" i="10"/>
  <c r="D738" i="10"/>
  <c r="D712" i="10"/>
  <c r="D706" i="10"/>
  <c r="D692" i="10"/>
  <c r="D684" i="10"/>
  <c r="D676" i="10"/>
  <c r="D668" i="10"/>
  <c r="D660" i="10"/>
  <c r="D652" i="10"/>
  <c r="D644" i="10"/>
  <c r="D636" i="10"/>
  <c r="D628" i="10"/>
  <c r="D620" i="10"/>
  <c r="D612" i="10"/>
  <c r="D604" i="10"/>
  <c r="D596" i="10"/>
  <c r="D588" i="10"/>
  <c r="D580" i="10"/>
  <c r="D572" i="10"/>
  <c r="D564" i="10"/>
  <c r="D1316" i="10"/>
  <c r="D1082" i="10"/>
  <c r="D1026" i="10"/>
  <c r="D1011" i="10"/>
  <c r="D1006" i="10"/>
  <c r="D960" i="10"/>
  <c r="D933" i="10"/>
  <c r="D929" i="10"/>
  <c r="D920" i="10"/>
  <c r="D904" i="10"/>
  <c r="D885" i="10"/>
  <c r="D878" i="10"/>
  <c r="D874" i="10"/>
  <c r="D862" i="10"/>
  <c r="D825" i="10"/>
  <c r="D804" i="10"/>
  <c r="D784" i="10"/>
  <c r="D777" i="10"/>
  <c r="D719" i="10"/>
  <c r="D716" i="10"/>
  <c r="D1440" i="10"/>
  <c r="D1376" i="10"/>
  <c r="D1349" i="10"/>
  <c r="D1329" i="10"/>
  <c r="D1283" i="10"/>
  <c r="D1072" i="10"/>
  <c r="D1016" i="10"/>
  <c r="D870" i="10"/>
  <c r="D855" i="10"/>
  <c r="D713" i="10"/>
  <c r="D693" i="10"/>
  <c r="D685" i="10"/>
  <c r="D677" i="10"/>
  <c r="D669" i="10"/>
  <c r="D661" i="10"/>
  <c r="D653" i="10"/>
  <c r="D645" i="10"/>
  <c r="D637" i="10"/>
  <c r="D629" i="10"/>
  <c r="D1460" i="10"/>
  <c r="D1397" i="10"/>
  <c r="D1341" i="10"/>
  <c r="D1264" i="10"/>
  <c r="D1237" i="10"/>
  <c r="D1189" i="10"/>
  <c r="D1030" i="10"/>
  <c r="D987" i="10"/>
  <c r="D973" i="10"/>
  <c r="D955" i="10"/>
  <c r="D942" i="10"/>
  <c r="D912" i="10"/>
  <c r="D896" i="10"/>
  <c r="D858" i="10"/>
  <c r="D832" i="10"/>
  <c r="D787" i="10"/>
  <c r="D780" i="10"/>
  <c r="D751" i="10"/>
  <c r="D748" i="10"/>
  <c r="D745" i="10"/>
  <c r="D742" i="10"/>
  <c r="D739" i="10"/>
  <c r="D710" i="10"/>
  <c r="D707" i="10"/>
  <c r="D1471" i="10"/>
  <c r="D1441" i="10"/>
  <c r="D1192" i="10"/>
  <c r="D1008" i="10"/>
  <c r="D945" i="10"/>
  <c r="D877" i="10"/>
  <c r="D856" i="10"/>
  <c r="D822" i="10"/>
  <c r="D795" i="10"/>
  <c r="D782" i="10"/>
  <c r="D598" i="10"/>
  <c r="D496" i="10"/>
  <c r="D1477" i="10"/>
  <c r="D1280" i="10"/>
  <c r="D1273" i="10"/>
  <c r="D1113" i="10"/>
  <c r="D984" i="10"/>
  <c r="D966" i="10"/>
  <c r="D939" i="10"/>
  <c r="D846" i="10"/>
  <c r="D772" i="10"/>
  <c r="D768" i="10"/>
  <c r="D755" i="10"/>
  <c r="D747" i="10"/>
  <c r="D743" i="10"/>
  <c r="D720" i="10"/>
  <c r="D711" i="10"/>
  <c r="D689" i="10"/>
  <c r="D682" i="10"/>
  <c r="D678" i="10"/>
  <c r="D657" i="10"/>
  <c r="D650" i="10"/>
  <c r="D646" i="10"/>
  <c r="D625" i="10"/>
  <c r="D554" i="10"/>
  <c r="D548" i="10"/>
  <c r="D545" i="10"/>
  <c r="D542" i="10"/>
  <c r="D522" i="10"/>
  <c r="D516" i="10"/>
  <c r="D513" i="10"/>
  <c r="D510" i="10"/>
  <c r="D493" i="10"/>
  <c r="D485" i="10"/>
  <c r="D477" i="10"/>
  <c r="D469" i="10"/>
  <c r="D461" i="10"/>
  <c r="D453" i="10"/>
  <c r="D445" i="10"/>
  <c r="D437" i="10"/>
  <c r="D429" i="10"/>
  <c r="D421" i="10"/>
  <c r="D413" i="10"/>
  <c r="D405" i="10"/>
  <c r="D397" i="10"/>
  <c r="D389" i="10"/>
  <c r="D1197" i="10"/>
  <c r="D1171" i="10"/>
  <c r="D906" i="10"/>
  <c r="D871" i="10"/>
  <c r="D808" i="10"/>
  <c r="D735" i="10"/>
  <c r="D703" i="10"/>
  <c r="D1359" i="10"/>
  <c r="D994" i="10"/>
  <c r="D890" i="10"/>
  <c r="D881" i="10"/>
  <c r="D865" i="10"/>
  <c r="D841" i="10"/>
  <c r="D812" i="10"/>
  <c r="D790" i="10"/>
  <c r="D762" i="10"/>
  <c r="D728" i="10"/>
  <c r="D696" i="10"/>
  <c r="D667" i="10"/>
  <c r="D664" i="10"/>
  <c r="D635" i="10"/>
  <c r="D632" i="10"/>
  <c r="D621" i="10"/>
  <c r="D618" i="10"/>
  <c r="D611" i="10"/>
  <c r="D608" i="10"/>
  <c r="D601" i="10"/>
  <c r="D581" i="10"/>
  <c r="D578" i="10"/>
  <c r="D539" i="10"/>
  <c r="D536" i="10"/>
  <c r="D533" i="10"/>
  <c r="D507" i="10"/>
  <c r="D504" i="10"/>
  <c r="D501" i="10"/>
  <c r="D490" i="10"/>
  <c r="D482" i="10"/>
  <c r="D474" i="10"/>
  <c r="D466" i="10"/>
  <c r="D458" i="10"/>
  <c r="D450" i="10"/>
  <c r="D442" i="10"/>
  <c r="D434" i="10"/>
  <c r="D426" i="10"/>
  <c r="D418" i="10"/>
  <c r="D410" i="10"/>
  <c r="D402" i="10"/>
  <c r="D394" i="10"/>
  <c r="D386" i="10"/>
  <c r="D378" i="10"/>
  <c r="D370" i="10"/>
  <c r="D362" i="10"/>
  <c r="D354" i="10"/>
  <c r="D1129" i="10"/>
  <c r="D1095" i="10"/>
  <c r="D1003" i="10"/>
  <c r="D902" i="10"/>
  <c r="D897" i="10"/>
  <c r="D838" i="10"/>
  <c r="D828" i="10"/>
  <c r="D809" i="10"/>
  <c r="D774" i="10"/>
  <c r="D1140" i="10"/>
  <c r="D1108" i="10"/>
  <c r="D1022" i="10"/>
  <c r="D952" i="10"/>
  <c r="D867" i="10"/>
  <c r="D842" i="10"/>
  <c r="D814" i="10"/>
  <c r="D744" i="10"/>
  <c r="D740" i="10"/>
  <c r="D729" i="10"/>
  <c r="D708" i="10"/>
  <c r="D697" i="10"/>
  <c r="D690" i="10"/>
  <c r="D686" i="10"/>
  <c r="D665" i="10"/>
  <c r="D658" i="10"/>
  <c r="D654" i="10"/>
  <c r="D633" i="10"/>
  <c r="D626" i="10"/>
  <c r="D619" i="10"/>
  <c r="D616" i="10"/>
  <c r="D609" i="10"/>
  <c r="D582" i="10"/>
  <c r="D579" i="10"/>
  <c r="D576" i="10"/>
  <c r="D546" i="10"/>
  <c r="D540" i="10"/>
  <c r="D537" i="10"/>
  <c r="D534" i="10"/>
  <c r="D514" i="10"/>
  <c r="D508" i="10"/>
  <c r="D505" i="10"/>
  <c r="D502" i="10"/>
  <c r="D491" i="10"/>
  <c r="D1261" i="10"/>
  <c r="D1186" i="10"/>
  <c r="D1063" i="10"/>
  <c r="D1027" i="10"/>
  <c r="D962" i="10"/>
  <c r="D917" i="10"/>
  <c r="D882" i="10"/>
  <c r="D764" i="10"/>
  <c r="D759" i="10"/>
  <c r="D752" i="10"/>
  <c r="D622" i="10"/>
  <c r="D566" i="10"/>
  <c r="D1285" i="10"/>
  <c r="D1041" i="10"/>
  <c r="D888" i="10"/>
  <c r="D779" i="10"/>
  <c r="D662" i="10"/>
  <c r="D648" i="10"/>
  <c r="D594" i="10"/>
  <c r="D586" i="10"/>
  <c r="D573" i="10"/>
  <c r="D561" i="10"/>
  <c r="D525" i="10"/>
  <c r="D521" i="10"/>
  <c r="D492" i="10"/>
  <c r="D478" i="10"/>
  <c r="D467" i="10"/>
  <c r="D436" i="10"/>
  <c r="D366" i="10"/>
  <c r="D352" i="10"/>
  <c r="D344" i="10"/>
  <c r="D336" i="10"/>
  <c r="D328" i="10"/>
  <c r="D320" i="10"/>
  <c r="D312" i="10"/>
  <c r="D304" i="10"/>
  <c r="D296" i="10"/>
  <c r="D288" i="10"/>
  <c r="D280" i="10"/>
  <c r="D272" i="10"/>
  <c r="D893" i="10"/>
  <c r="D750" i="10"/>
  <c r="D675" i="10"/>
  <c r="D606" i="10"/>
  <c r="D532" i="10"/>
  <c r="D481" i="10"/>
  <c r="D419" i="10"/>
  <c r="D416" i="10"/>
  <c r="D409" i="10"/>
  <c r="D406" i="10"/>
  <c r="D399" i="10"/>
  <c r="D383" i="10"/>
  <c r="D380" i="10"/>
  <c r="D377" i="10"/>
  <c r="D363" i="10"/>
  <c r="D1046" i="10"/>
  <c r="D910" i="10"/>
  <c r="D898" i="10"/>
  <c r="D833" i="10"/>
  <c r="D730" i="10"/>
  <c r="D714" i="10"/>
  <c r="D704" i="10"/>
  <c r="D694" i="10"/>
  <c r="D680" i="10"/>
  <c r="D638" i="10"/>
  <c r="D602" i="10"/>
  <c r="D557" i="10"/>
  <c r="D553" i="10"/>
  <c r="D517" i="10"/>
  <c r="D512" i="10"/>
  <c r="D488" i="10"/>
  <c r="D463" i="10"/>
  <c r="D412" i="10"/>
  <c r="D360" i="10"/>
  <c r="D349" i="10"/>
  <c r="D341" i="10"/>
  <c r="D333" i="10"/>
  <c r="D325" i="10"/>
  <c r="D317" i="10"/>
  <c r="D309" i="10"/>
  <c r="D301" i="10"/>
  <c r="D293" i="10"/>
  <c r="D285" i="10"/>
  <c r="D277" i="10"/>
  <c r="D1117" i="10"/>
  <c r="D993" i="10"/>
  <c r="D953" i="10"/>
  <c r="D887" i="10"/>
  <c r="D845" i="10"/>
  <c r="D788" i="10"/>
  <c r="D699" i="10"/>
  <c r="D642" i="10"/>
  <c r="D634" i="10"/>
  <c r="D624" i="10"/>
  <c r="D614" i="10"/>
  <c r="D597" i="10"/>
  <c r="D585" i="10"/>
  <c r="D568" i="10"/>
  <c r="D528" i="10"/>
  <c r="D484" i="10"/>
  <c r="D456" i="10"/>
  <c r="D449" i="10"/>
  <c r="D446" i="10"/>
  <c r="D439" i="10"/>
  <c r="D395" i="10"/>
  <c r="D392" i="10"/>
  <c r="D374" i="10"/>
  <c r="D371" i="10"/>
  <c r="D1042" i="10"/>
  <c r="D894" i="10"/>
  <c r="D864" i="10"/>
  <c r="D830" i="10"/>
  <c r="D801" i="10"/>
  <c r="D681" i="10"/>
  <c r="D640" i="10"/>
  <c r="D595" i="10"/>
  <c r="D570" i="10"/>
  <c r="D562" i="10"/>
  <c r="D555" i="10"/>
  <c r="D518" i="10"/>
  <c r="D509" i="10"/>
  <c r="D486" i="10"/>
  <c r="D475" i="10"/>
  <c r="D420" i="10"/>
  <c r="D361" i="10"/>
  <c r="D350" i="10"/>
  <c r="D342" i="10"/>
  <c r="D334" i="10"/>
  <c r="D326" i="10"/>
  <c r="D318" i="10"/>
  <c r="D310" i="10"/>
  <c r="D302" i="10"/>
  <c r="D294" i="10"/>
  <c r="D286" i="10"/>
  <c r="D278" i="10"/>
  <c r="D1176" i="10"/>
  <c r="D1162" i="10"/>
  <c r="D936" i="10"/>
  <c r="D930" i="10"/>
  <c r="D918" i="10"/>
  <c r="D785" i="10"/>
  <c r="D736" i="10"/>
  <c r="D722" i="10"/>
  <c r="D691" i="10"/>
  <c r="D603" i="10"/>
  <c r="D558" i="10"/>
  <c r="D497" i="10"/>
  <c r="D489" i="10"/>
  <c r="D457" i="10"/>
  <c r="D454" i="10"/>
  <c r="D447" i="10"/>
  <c r="D403" i="10"/>
  <c r="D400" i="10"/>
  <c r="D393" i="10"/>
  <c r="D390" i="10"/>
  <c r="D381" i="10"/>
  <c r="D375" i="10"/>
  <c r="D372" i="10"/>
  <c r="D949" i="10"/>
  <c r="D761" i="10"/>
  <c r="D746" i="10"/>
  <c r="D731" i="10"/>
  <c r="D726" i="10"/>
  <c r="D705" i="10"/>
  <c r="D672" i="10"/>
  <c r="D630" i="10"/>
  <c r="D565" i="10"/>
  <c r="D550" i="10"/>
  <c r="D541" i="10"/>
  <c r="D529" i="10"/>
  <c r="D471" i="10"/>
  <c r="D464" i="10"/>
  <c r="D396" i="10"/>
  <c r="D369" i="10"/>
  <c r="D358" i="10"/>
  <c r="D347" i="10"/>
  <c r="D339" i="10"/>
  <c r="D331" i="10"/>
  <c r="D323" i="10"/>
  <c r="D315" i="10"/>
  <c r="D307" i="10"/>
  <c r="D299" i="10"/>
  <c r="D291" i="10"/>
  <c r="D283" i="10"/>
  <c r="D275" i="10"/>
  <c r="D926" i="10"/>
  <c r="D913" i="10"/>
  <c r="D754" i="10"/>
  <c r="D666" i="10"/>
  <c r="D643" i="10"/>
  <c r="D531" i="10"/>
  <c r="D398" i="10"/>
  <c r="D364" i="10"/>
  <c r="D348" i="10"/>
  <c r="D337" i="10"/>
  <c r="D314" i="10"/>
  <c r="D303" i="10"/>
  <c r="D284" i="10"/>
  <c r="D266" i="10"/>
  <c r="D258" i="10"/>
  <c r="D212" i="10"/>
  <c r="D204" i="10"/>
  <c r="D196" i="10"/>
  <c r="D879" i="10"/>
  <c r="D798" i="10"/>
  <c r="D792" i="10"/>
  <c r="D593" i="10"/>
  <c r="D563" i="10"/>
  <c r="D526" i="10"/>
  <c r="D499" i="10"/>
  <c r="D470" i="10"/>
  <c r="D422" i="10"/>
  <c r="D417" i="10"/>
  <c r="D359" i="10"/>
  <c r="D250" i="10"/>
  <c r="D237" i="10"/>
  <c r="D233" i="10"/>
  <c r="D229" i="10"/>
  <c r="D224" i="10"/>
  <c r="D700" i="10"/>
  <c r="D688" i="10"/>
  <c r="D670" i="10"/>
  <c r="D577" i="10"/>
  <c r="D515" i="10"/>
  <c r="D479" i="10"/>
  <c r="D465" i="10"/>
  <c r="D451" i="10"/>
  <c r="D388" i="10"/>
  <c r="D340" i="10"/>
  <c r="D329" i="10"/>
  <c r="D306" i="10"/>
  <c r="D295" i="10"/>
  <c r="D276" i="10"/>
  <c r="D261" i="10"/>
  <c r="D253" i="10"/>
  <c r="D247" i="10"/>
  <c r="D219" i="10"/>
  <c r="D213" i="10"/>
  <c r="D205" i="10"/>
  <c r="D197" i="10"/>
  <c r="D753" i="10"/>
  <c r="D659" i="10"/>
  <c r="D547" i="10"/>
  <c r="D494" i="10"/>
  <c r="D460" i="10"/>
  <c r="D430" i="10"/>
  <c r="D407" i="10"/>
  <c r="D367" i="10"/>
  <c r="D355" i="10"/>
  <c r="D271" i="10"/>
  <c r="D244" i="10"/>
  <c r="D723" i="10"/>
  <c r="D613" i="10"/>
  <c r="D587" i="10"/>
  <c r="D530" i="10"/>
  <c r="D455" i="10"/>
  <c r="D438" i="10"/>
  <c r="D425" i="10"/>
  <c r="D384" i="10"/>
  <c r="D379" i="10"/>
  <c r="D351" i="10"/>
  <c r="D332" i="10"/>
  <c r="D321" i="10"/>
  <c r="D298" i="10"/>
  <c r="D287" i="10"/>
  <c r="D264" i="10"/>
  <c r="D256" i="10"/>
  <c r="D1278" i="10"/>
  <c r="D1143" i="10"/>
  <c r="D914" i="10"/>
  <c r="D859" i="10"/>
  <c r="D853" i="10"/>
  <c r="D732" i="10"/>
  <c r="D702" i="10"/>
  <c r="D600" i="10"/>
  <c r="D523" i="10"/>
  <c r="D506" i="10"/>
  <c r="D476" i="10"/>
  <c r="D440" i="10"/>
  <c r="D353" i="10"/>
  <c r="D330" i="10"/>
  <c r="D319" i="10"/>
  <c r="D300" i="10"/>
  <c r="D289" i="10"/>
  <c r="D270" i="10"/>
  <c r="D260" i="10"/>
  <c r="D252" i="10"/>
  <c r="D249" i="10"/>
  <c r="D217" i="10"/>
  <c r="D210" i="10"/>
  <c r="D202" i="10"/>
  <c r="D194" i="10"/>
  <c r="D1157" i="10"/>
  <c r="D997" i="10"/>
  <c r="D627" i="10"/>
  <c r="D569" i="10"/>
  <c r="D549" i="10"/>
  <c r="D495" i="10"/>
  <c r="D462" i="10"/>
  <c r="D452" i="10"/>
  <c r="D435" i="10"/>
  <c r="D423" i="10"/>
  <c r="D414" i="10"/>
  <c r="D368" i="10"/>
  <c r="D246" i="10"/>
  <c r="D236" i="10"/>
  <c r="D232" i="10"/>
  <c r="D228" i="10"/>
  <c r="D1488" i="10"/>
  <c r="D1025" i="10"/>
  <c r="D901" i="10"/>
  <c r="D737" i="10"/>
  <c r="D683" i="10"/>
  <c r="D649" i="10"/>
  <c r="D610" i="10"/>
  <c r="D589" i="10"/>
  <c r="D584" i="10"/>
  <c r="D538" i="10"/>
  <c r="D500" i="10"/>
  <c r="D480" i="10"/>
  <c r="D431" i="10"/>
  <c r="D427" i="10"/>
  <c r="D385" i="10"/>
  <c r="D376" i="10"/>
  <c r="D356" i="10"/>
  <c r="D345" i="10"/>
  <c r="D322" i="10"/>
  <c r="D311" i="10"/>
  <c r="D292" i="10"/>
  <c r="D281" i="10"/>
  <c r="D273" i="10"/>
  <c r="D268" i="10"/>
  <c r="D263" i="10"/>
  <c r="D255" i="10"/>
  <c r="D243" i="10"/>
  <c r="D223" i="10"/>
  <c r="D211" i="10"/>
  <c r="D203" i="10"/>
  <c r="D195" i="10"/>
  <c r="D909" i="10"/>
  <c r="D590" i="10"/>
  <c r="D571" i="10"/>
  <c r="D424" i="10"/>
  <c r="D411" i="10"/>
  <c r="D382" i="10"/>
  <c r="D220" i="10"/>
  <c r="D218" i="10"/>
  <c r="D186" i="10"/>
  <c r="D170" i="10"/>
  <c r="D1058" i="10"/>
  <c r="D756" i="10"/>
  <c r="D487" i="10"/>
  <c r="D324" i="10"/>
  <c r="D177" i="10"/>
  <c r="D161" i="10"/>
  <c r="D152" i="10"/>
  <c r="D148" i="10"/>
  <c r="D144" i="10"/>
  <c r="D140" i="10"/>
  <c r="D136" i="10"/>
  <c r="D1476" i="10"/>
  <c r="D849" i="10"/>
  <c r="D641" i="10"/>
  <c r="D552" i="10"/>
  <c r="D428" i="10"/>
  <c r="D365" i="10"/>
  <c r="D267" i="10"/>
  <c r="D251" i="10"/>
  <c r="D238" i="10"/>
  <c r="D184" i="10"/>
  <c r="D168" i="10"/>
  <c r="D1085" i="10"/>
  <c r="D1078" i="10"/>
  <c r="D673" i="10"/>
  <c r="D524" i="10"/>
  <c r="D444" i="10"/>
  <c r="D433" i="10"/>
  <c r="D404" i="10"/>
  <c r="D387" i="10"/>
  <c r="D282" i="10"/>
  <c r="D254" i="10"/>
  <c r="D231" i="10"/>
  <c r="D199" i="10"/>
  <c r="D175" i="10"/>
  <c r="D156" i="10"/>
  <c r="D483" i="10"/>
  <c r="D441" i="10"/>
  <c r="D214" i="10"/>
  <c r="D200" i="10"/>
  <c r="D192" i="10"/>
  <c r="D190" i="10"/>
  <c r="D174" i="10"/>
  <c r="D132" i="10"/>
  <c r="D656" i="10"/>
  <c r="D617" i="10"/>
  <c r="D560" i="10"/>
  <c r="D265" i="10"/>
  <c r="D234" i="10"/>
  <c r="D208" i="10"/>
  <c r="D181" i="10"/>
  <c r="D165" i="10"/>
  <c r="D155" i="10"/>
  <c r="D151" i="10"/>
  <c r="D147" i="10"/>
  <c r="D143" i="10"/>
  <c r="D139" i="10"/>
  <c r="D133" i="10"/>
  <c r="D305" i="10"/>
  <c r="D279" i="10"/>
  <c r="D239" i="10"/>
  <c r="D188" i="10"/>
  <c r="D172" i="10"/>
  <c r="D134" i="10"/>
  <c r="D182" i="10"/>
  <c r="D150" i="10"/>
  <c r="D145" i="10"/>
  <c r="D112" i="10"/>
  <c r="D89" i="10"/>
  <c r="D72" i="10"/>
  <c r="D64" i="10"/>
  <c r="D651" i="10"/>
  <c r="D473" i="10"/>
  <c r="D343" i="10"/>
  <c r="D313" i="10"/>
  <c r="D225" i="10"/>
  <c r="D179" i="10"/>
  <c r="D176" i="10"/>
  <c r="D166" i="10"/>
  <c r="D1130" i="10"/>
  <c r="D335" i="10"/>
  <c r="D274" i="10"/>
  <c r="D215" i="10"/>
  <c r="D187" i="10"/>
  <c r="D120" i="10"/>
  <c r="D108" i="10"/>
  <c r="D102" i="10"/>
  <c r="D81" i="10"/>
  <c r="D68" i="10"/>
  <c r="D498" i="10"/>
  <c r="D346" i="10"/>
  <c r="D316" i="10"/>
  <c r="D227" i="10"/>
  <c r="D171" i="10"/>
  <c r="D131" i="10"/>
  <c r="D129" i="10"/>
  <c r="D127" i="10"/>
  <c r="D99" i="10"/>
  <c r="D92" i="10"/>
  <c r="D76" i="10"/>
  <c r="D816" i="10"/>
  <c r="D771" i="10"/>
  <c r="D734" i="10"/>
  <c r="D698" i="10"/>
  <c r="D520" i="10"/>
  <c r="D443" i="10"/>
  <c r="D259" i="10"/>
  <c r="D248" i="10"/>
  <c r="D235" i="10"/>
  <c r="D193" i="10"/>
  <c r="D153" i="10"/>
  <c r="D118" i="10"/>
  <c r="D111" i="10"/>
  <c r="D96" i="10"/>
  <c r="D87" i="10"/>
  <c r="D226" i="10"/>
  <c r="D207" i="10"/>
  <c r="D180" i="10"/>
  <c r="D146" i="10"/>
  <c r="D141" i="10"/>
  <c r="D125" i="10"/>
  <c r="D82" i="10"/>
  <c r="D472" i="10"/>
  <c r="D122" i="10"/>
  <c r="D114" i="10"/>
  <c r="D104" i="10"/>
  <c r="D242" i="10"/>
  <c r="D216" i="10"/>
  <c r="D119" i="10"/>
  <c r="D109" i="10"/>
  <c r="D94" i="10"/>
  <c r="D85" i="10"/>
  <c r="D11" i="10"/>
  <c r="D297" i="10"/>
  <c r="D106" i="10"/>
  <c r="D15" i="10"/>
  <c r="D574" i="10"/>
  <c r="D415" i="10"/>
  <c r="D408" i="10"/>
  <c r="D401" i="10"/>
  <c r="D257" i="10"/>
  <c r="D241" i="10"/>
  <c r="D198" i="10"/>
  <c r="D167" i="10"/>
  <c r="D162" i="10"/>
  <c r="D157" i="10"/>
  <c r="D149" i="10"/>
  <c r="D142" i="10"/>
  <c r="D83" i="10"/>
  <c r="D67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338" i="10"/>
  <c r="D88" i="10"/>
  <c r="D373" i="10"/>
  <c r="D221" i="10"/>
  <c r="D209" i="10"/>
  <c r="D138" i="10"/>
  <c r="D135" i="10"/>
  <c r="D124" i="10"/>
  <c r="D116" i="10"/>
  <c r="D100" i="10"/>
  <c r="D98" i="10"/>
  <c r="D59" i="10"/>
  <c r="D544" i="10"/>
  <c r="D191" i="10"/>
  <c r="D90" i="10"/>
  <c r="D74" i="10"/>
  <c r="D71" i="10"/>
  <c r="D60" i="10"/>
  <c r="D121" i="10"/>
  <c r="D269" i="10"/>
  <c r="D173" i="10"/>
  <c r="D163" i="10"/>
  <c r="D66" i="10"/>
  <c r="W13" i="10"/>
  <c r="C1342" i="10" s="1"/>
  <c r="D848" i="10"/>
  <c r="D183" i="10"/>
  <c r="D107" i="10"/>
  <c r="D70" i="10"/>
  <c r="D327" i="10"/>
  <c r="D158" i="10"/>
  <c r="D154" i="10"/>
  <c r="D117" i="10"/>
  <c r="D80" i="10"/>
  <c r="D73" i="10"/>
  <c r="D12" i="10"/>
  <c r="D970" i="10"/>
  <c r="D222" i="10"/>
  <c r="D178" i="10"/>
  <c r="D130" i="10"/>
  <c r="D105" i="10"/>
  <c r="D78" i="10"/>
  <c r="D63" i="10"/>
  <c r="D113" i="10"/>
  <c r="D103" i="10"/>
  <c r="D93" i="10"/>
  <c r="D9" i="10"/>
  <c r="D65" i="10"/>
  <c r="D160" i="10"/>
  <c r="D101" i="10"/>
  <c r="D556" i="10"/>
  <c r="D308" i="10"/>
  <c r="D245" i="10"/>
  <c r="D201" i="10"/>
  <c r="D164" i="10"/>
  <c r="D137" i="10"/>
  <c r="D14" i="10"/>
  <c r="D357" i="10"/>
  <c r="D965" i="10"/>
  <c r="D262" i="10"/>
  <c r="D62" i="10"/>
  <c r="D240" i="10"/>
  <c r="D97" i="10"/>
  <c r="D84" i="10"/>
  <c r="D69" i="10"/>
  <c r="D1265" i="10"/>
  <c r="D185" i="10"/>
  <c r="D123" i="10"/>
  <c r="Y13" i="10"/>
  <c r="D592" i="10"/>
  <c r="D448" i="10"/>
  <c r="D79" i="10"/>
  <c r="X13" i="10"/>
  <c r="D459" i="10"/>
  <c r="D169" i="10"/>
  <c r="D115" i="10"/>
  <c r="D86" i="10"/>
  <c r="D13" i="10"/>
  <c r="D77" i="10"/>
  <c r="D758" i="10"/>
  <c r="D75" i="10"/>
  <c r="D128" i="10"/>
  <c r="D95" i="10"/>
  <c r="D189" i="10"/>
  <c r="D110" i="10"/>
  <c r="D1073" i="10"/>
  <c r="D605" i="10"/>
  <c r="D91" i="10"/>
  <c r="D230" i="10"/>
  <c r="D875" i="10"/>
  <c r="D432" i="10"/>
  <c r="D10" i="10"/>
  <c r="D674" i="10"/>
  <c r="D391" i="10"/>
  <c r="D126" i="10"/>
  <c r="D290" i="10"/>
  <c r="D468" i="10"/>
  <c r="D206" i="10"/>
  <c r="D61" i="10"/>
  <c r="D159" i="10"/>
  <c r="F194" i="10"/>
  <c r="F251" i="10"/>
  <c r="F97" i="10"/>
  <c r="F31" i="10"/>
  <c r="F235" i="10"/>
  <c r="F166" i="10"/>
  <c r="F131" i="10"/>
  <c r="F16" i="10"/>
  <c r="F265" i="10"/>
  <c r="F239" i="10"/>
  <c r="F219" i="10"/>
  <c r="F128" i="10"/>
  <c r="F66" i="10"/>
  <c r="F178" i="10"/>
  <c r="F71" i="10"/>
  <c r="F17" i="10"/>
  <c r="F33" i="10"/>
  <c r="F49" i="10"/>
  <c r="F162" i="10"/>
  <c r="F82" i="10"/>
  <c r="F152" i="10"/>
  <c r="F170" i="10"/>
  <c r="F137" i="10"/>
  <c r="F191" i="10"/>
  <c r="F204" i="10"/>
  <c r="F230" i="10"/>
  <c r="F247" i="10"/>
  <c r="F46" i="10"/>
  <c r="F221" i="10"/>
  <c r="F268" i="10"/>
  <c r="F245" i="10"/>
  <c r="F105" i="10"/>
  <c r="F47" i="10"/>
  <c r="F229" i="10"/>
  <c r="F259" i="10"/>
  <c r="F115" i="10"/>
  <c r="F150" i="10"/>
  <c r="F32" i="10"/>
  <c r="F249" i="10"/>
  <c r="F182" i="10"/>
  <c r="F84" i="10"/>
  <c r="F183" i="10"/>
  <c r="F74" i="10"/>
  <c r="F18" i="10"/>
  <c r="F34" i="10"/>
  <c r="F50" i="10"/>
  <c r="F167" i="10"/>
  <c r="F125" i="10"/>
  <c r="F157" i="10"/>
  <c r="F186" i="10"/>
  <c r="F141" i="10"/>
  <c r="F193" i="10"/>
  <c r="F212" i="10"/>
  <c r="F234" i="10"/>
  <c r="F253" i="10"/>
  <c r="F119" i="10"/>
  <c r="F202" i="10"/>
  <c r="F7" i="10"/>
  <c r="F129" i="10"/>
  <c r="F127" i="10"/>
  <c r="F232" i="10"/>
  <c r="F213" i="10"/>
  <c r="F99" i="10"/>
  <c r="F64" i="10"/>
  <c r="F142" i="10"/>
  <c r="F242" i="10"/>
  <c r="F196" i="10"/>
  <c r="F260" i="10"/>
  <c r="F90" i="10"/>
  <c r="F19" i="10"/>
  <c r="F35" i="10"/>
  <c r="F51" i="10"/>
  <c r="F88" i="10"/>
  <c r="F146" i="10"/>
  <c r="F160" i="10"/>
  <c r="F135" i="10"/>
  <c r="F145" i="10"/>
  <c r="F207" i="10"/>
  <c r="F258" i="10"/>
  <c r="F238" i="10"/>
  <c r="F261" i="10"/>
  <c r="F174" i="10"/>
  <c r="F257" i="10"/>
  <c r="F205" i="10"/>
  <c r="F60" i="10"/>
  <c r="F177" i="10"/>
  <c r="F267" i="10"/>
  <c r="F48" i="10"/>
  <c r="F220" i="10"/>
  <c r="F86" i="10"/>
  <c r="F14" i="10"/>
  <c r="F75" i="10"/>
  <c r="F181" i="10"/>
  <c r="F117" i="10"/>
  <c r="F9" i="10"/>
  <c r="F169" i="10"/>
  <c r="F12" i="10"/>
  <c r="F89" i="10"/>
  <c r="F61" i="10"/>
  <c r="F92" i="10"/>
  <c r="F20" i="10"/>
  <c r="F36" i="10"/>
  <c r="F52" i="10"/>
  <c r="F93" i="10"/>
  <c r="F151" i="10"/>
  <c r="F185" i="10"/>
  <c r="F158" i="10"/>
  <c r="F149" i="10"/>
  <c r="F222" i="10"/>
  <c r="F266" i="10"/>
  <c r="F269" i="10"/>
  <c r="F80" i="10" l="1"/>
  <c r="F175" i="10"/>
  <c r="M14" i="10"/>
  <c r="J22" i="10"/>
  <c r="K22" i="10" s="1"/>
  <c r="J50" i="10"/>
  <c r="M71" i="10"/>
  <c r="I38" i="10"/>
  <c r="M108" i="10"/>
  <c r="H39" i="10"/>
  <c r="E145" i="10"/>
  <c r="E425" i="10"/>
  <c r="M87" i="10"/>
  <c r="H50" i="10"/>
  <c r="E215" i="10"/>
  <c r="E1200" i="10"/>
  <c r="F24" i="10"/>
  <c r="F109" i="10"/>
  <c r="M20" i="10"/>
  <c r="E398" i="10"/>
  <c r="E1066" i="10"/>
  <c r="M50" i="10"/>
  <c r="H54" i="10"/>
  <c r="E30" i="10"/>
  <c r="F136" i="10"/>
  <c r="F198" i="10"/>
  <c r="M85" i="10"/>
  <c r="E391" i="10"/>
  <c r="E160" i="10"/>
  <c r="M80" i="10"/>
  <c r="E970" i="10"/>
  <c r="E116" i="10"/>
  <c r="F56" i="10"/>
  <c r="F262" i="10"/>
  <c r="F23" i="10"/>
  <c r="H13" i="10"/>
  <c r="E189" i="10"/>
  <c r="E303" i="10"/>
  <c r="E926" i="10"/>
  <c r="I59" i="10"/>
  <c r="E178" i="10"/>
  <c r="E209" i="10"/>
  <c r="M152" i="10"/>
  <c r="E125" i="10"/>
  <c r="E315" i="10"/>
  <c r="F59" i="10"/>
  <c r="F218" i="10"/>
  <c r="J54" i="10"/>
  <c r="L54" i="10" s="1"/>
  <c r="E913" i="10"/>
  <c r="J36" i="10"/>
  <c r="J31" i="10"/>
  <c r="J12" i="10"/>
  <c r="H34" i="10"/>
  <c r="I54" i="10"/>
  <c r="E180" i="10"/>
  <c r="H240" i="10"/>
  <c r="M133" i="10"/>
  <c r="E110" i="10"/>
  <c r="J11" i="10"/>
  <c r="K11" i="10" s="1"/>
  <c r="M59" i="10"/>
  <c r="H134" i="10"/>
  <c r="H51" i="10"/>
  <c r="M196" i="10"/>
  <c r="E666" i="10"/>
  <c r="E86" i="10"/>
  <c r="E120" i="10"/>
  <c r="J49" i="10"/>
  <c r="M52" i="10"/>
  <c r="I12" i="10"/>
  <c r="H52" i="10"/>
  <c r="I9" i="10"/>
  <c r="M97" i="10"/>
  <c r="E173" i="10"/>
  <c r="E123" i="10"/>
  <c r="M23" i="10"/>
  <c r="H47" i="10"/>
  <c r="I44" i="10"/>
  <c r="E46" i="10"/>
  <c r="E656" i="10"/>
  <c r="H208" i="10"/>
  <c r="E185" i="10"/>
  <c r="E137" i="10"/>
  <c r="H48" i="10"/>
  <c r="I45" i="10"/>
  <c r="M79" i="10"/>
  <c r="H107" i="10"/>
  <c r="E362" i="10"/>
  <c r="E441" i="10"/>
  <c r="E89" i="10"/>
  <c r="H28" i="10"/>
  <c r="I29" i="10"/>
  <c r="E26" i="10"/>
  <c r="M125" i="10"/>
  <c r="M33" i="10"/>
  <c r="H29" i="10"/>
  <c r="E8" i="10"/>
  <c r="I68" i="10"/>
  <c r="M158" i="10"/>
  <c r="I115" i="10"/>
  <c r="F155" i="10"/>
  <c r="F10" i="10"/>
  <c r="M30" i="10"/>
  <c r="M38" i="10"/>
  <c r="M49" i="10"/>
  <c r="M44" i="10"/>
  <c r="J19" i="10"/>
  <c r="L19" i="10" s="1"/>
  <c r="E101" i="10"/>
  <c r="M39" i="10"/>
  <c r="H31" i="10"/>
  <c r="M10" i="10"/>
  <c r="N10" i="10" s="1"/>
  <c r="P14" i="10" s="1"/>
  <c r="B9" i="6" s="1"/>
  <c r="E90" i="10"/>
  <c r="E82" i="10"/>
  <c r="I124" i="10"/>
  <c r="F76" i="10"/>
  <c r="F190" i="10"/>
  <c r="F208" i="10"/>
  <c r="M26" i="10"/>
  <c r="J8" i="10"/>
  <c r="L8" i="10" s="1"/>
  <c r="J38" i="10"/>
  <c r="K38" i="10" s="1"/>
  <c r="J37" i="10"/>
  <c r="L37" i="10" s="1"/>
  <c r="H130" i="10"/>
  <c r="J41" i="10"/>
  <c r="K41" i="10" s="1"/>
  <c r="H24" i="10"/>
  <c r="E361" i="10"/>
  <c r="H194" i="10"/>
  <c r="E109" i="10"/>
  <c r="E234" i="10"/>
  <c r="E342" i="10"/>
  <c r="M18" i="10"/>
  <c r="J42" i="10"/>
  <c r="K42" i="10" s="1"/>
  <c r="J131" i="10"/>
  <c r="E65" i="10"/>
  <c r="J48" i="10"/>
  <c r="K48" i="10" s="1"/>
  <c r="M57" i="10"/>
  <c r="E114" i="10"/>
  <c r="H49" i="10"/>
  <c r="I21" i="10"/>
  <c r="E121" i="10"/>
  <c r="E415" i="10"/>
  <c r="M103" i="10"/>
  <c r="J116" i="10"/>
  <c r="L116" i="10" s="1"/>
  <c r="M223" i="10"/>
  <c r="I48" i="10"/>
  <c r="E23" i="10"/>
  <c r="E146" i="10"/>
  <c r="H97" i="10"/>
  <c r="I196" i="10"/>
  <c r="H98" i="10"/>
  <c r="M82" i="10"/>
  <c r="E170" i="10"/>
  <c r="M24" i="10"/>
  <c r="J34" i="10"/>
  <c r="K34" i="10" s="1"/>
  <c r="J43" i="10"/>
  <c r="L43" i="10" s="1"/>
  <c r="J57" i="10"/>
  <c r="L57" i="10" s="1"/>
  <c r="M41" i="10"/>
  <c r="E859" i="10"/>
  <c r="H33" i="10"/>
  <c r="M138" i="10"/>
  <c r="E117" i="10"/>
  <c r="E31" i="10"/>
  <c r="I70" i="10"/>
  <c r="I94" i="10"/>
  <c r="E32" i="10"/>
  <c r="E92" i="10"/>
  <c r="I96" i="10"/>
  <c r="M42" i="10"/>
  <c r="E103" i="10"/>
  <c r="M66" i="10"/>
  <c r="M190" i="10"/>
  <c r="J21" i="10"/>
  <c r="K21" i="10" s="1"/>
  <c r="M143" i="10"/>
  <c r="M21" i="10"/>
  <c r="E97" i="10"/>
  <c r="H25" i="10"/>
  <c r="H55" i="10"/>
  <c r="I30" i="10"/>
  <c r="M62" i="10"/>
  <c r="E52" i="10"/>
  <c r="E131" i="10"/>
  <c r="H114" i="10"/>
  <c r="J201" i="10"/>
  <c r="K201" i="10" s="1"/>
  <c r="F225" i="10"/>
  <c r="F210" i="10"/>
  <c r="F148" i="10"/>
  <c r="F81" i="10"/>
  <c r="I73" i="10"/>
  <c r="I13" i="10"/>
  <c r="I131" i="10"/>
  <c r="E719" i="10"/>
  <c r="J33" i="10"/>
  <c r="L33" i="10" s="1"/>
  <c r="M212" i="10"/>
  <c r="M35" i="10"/>
  <c r="J53" i="10"/>
  <c r="L53" i="10" s="1"/>
  <c r="H26" i="10"/>
  <c r="H57" i="10"/>
  <c r="I35" i="10"/>
  <c r="I61" i="10"/>
  <c r="E58" i="10"/>
  <c r="M75" i="10"/>
  <c r="M131" i="10"/>
  <c r="M11" i="10"/>
  <c r="N11" i="10" s="1"/>
  <c r="P15" i="10" s="1"/>
  <c r="B10" i="6" s="1"/>
  <c r="M16" i="10"/>
  <c r="J44" i="10"/>
  <c r="L44" i="10" s="1"/>
  <c r="M28" i="10"/>
  <c r="J26" i="10"/>
  <c r="L26" i="10" s="1"/>
  <c r="M70" i="10"/>
  <c r="J25" i="10"/>
  <c r="L25" i="10" s="1"/>
  <c r="H128" i="10"/>
  <c r="E200" i="10"/>
  <c r="I130" i="10"/>
  <c r="E14" i="10"/>
  <c r="H17" i="10"/>
  <c r="H40" i="10"/>
  <c r="E183" i="10"/>
  <c r="I33" i="10"/>
  <c r="H9" i="10"/>
  <c r="I72" i="10"/>
  <c r="M81" i="10"/>
  <c r="M147" i="10"/>
  <c r="H58" i="10"/>
  <c r="E1135" i="10"/>
  <c r="E115" i="10"/>
  <c r="M32" i="10"/>
  <c r="M56" i="10"/>
  <c r="E95" i="10"/>
  <c r="J30" i="10"/>
  <c r="L30" i="10" s="1"/>
  <c r="M73" i="10"/>
  <c r="J29" i="10"/>
  <c r="L29" i="10" s="1"/>
  <c r="E337" i="10"/>
  <c r="E570" i="10"/>
  <c r="E9" i="10"/>
  <c r="M48" i="10"/>
  <c r="H19" i="10"/>
  <c r="H44" i="10"/>
  <c r="M210" i="10"/>
  <c r="I34" i="10"/>
  <c r="J13" i="10"/>
  <c r="L13" i="10" s="1"/>
  <c r="E126" i="10"/>
  <c r="E85" i="10"/>
  <c r="I66" i="10"/>
  <c r="H60" i="10"/>
  <c r="E627" i="10"/>
  <c r="M40" i="10"/>
  <c r="I11" i="10"/>
  <c r="H202" i="10"/>
  <c r="M151" i="10"/>
  <c r="J27" i="10"/>
  <c r="K27" i="10" s="1"/>
  <c r="M43" i="10"/>
  <c r="M31" i="10"/>
  <c r="M19" i="10"/>
  <c r="M92" i="10"/>
  <c r="H30" i="10"/>
  <c r="H56" i="10"/>
  <c r="I18" i="10"/>
  <c r="I57" i="10"/>
  <c r="E10" i="10"/>
  <c r="E55" i="10"/>
  <c r="E96" i="10"/>
  <c r="M126" i="10"/>
  <c r="I116" i="10"/>
  <c r="J47" i="10"/>
  <c r="K47" i="10" s="1"/>
  <c r="M47" i="10"/>
  <c r="E93" i="10"/>
  <c r="E348" i="10"/>
  <c r="J18" i="10"/>
  <c r="K18" i="10" s="1"/>
  <c r="E782" i="10"/>
  <c r="E196" i="10"/>
  <c r="J35" i="10"/>
  <c r="L35" i="10" s="1"/>
  <c r="E66" i="10"/>
  <c r="M37" i="10"/>
  <c r="M27" i="10"/>
  <c r="M135" i="10"/>
  <c r="H32" i="10"/>
  <c r="E63" i="10"/>
  <c r="I22" i="10"/>
  <c r="M76" i="10"/>
  <c r="M65" i="10"/>
  <c r="E67" i="10"/>
  <c r="I62" i="10"/>
  <c r="M148" i="10"/>
  <c r="E254" i="10"/>
  <c r="M13" i="10"/>
  <c r="E39" i="10"/>
  <c r="E1008" i="10"/>
  <c r="E129" i="10"/>
  <c r="E135" i="10"/>
  <c r="I78" i="10"/>
  <c r="H164" i="10"/>
  <c r="I14" i="10"/>
  <c r="E220" i="10"/>
  <c r="E149" i="10"/>
  <c r="H223" i="10"/>
  <c r="M98" i="10"/>
  <c r="H62" i="10"/>
  <c r="J66" i="10"/>
  <c r="K66" i="10" s="1"/>
  <c r="J241" i="10"/>
  <c r="L241" i="10" s="1"/>
  <c r="E420" i="10"/>
  <c r="I69" i="10"/>
  <c r="I63" i="10"/>
  <c r="H18" i="10"/>
  <c r="H35" i="10"/>
  <c r="E78" i="10"/>
  <c r="I19" i="10"/>
  <c r="I51" i="10"/>
  <c r="E60" i="10"/>
  <c r="I10" i="10"/>
  <c r="E312" i="10"/>
  <c r="E561" i="10"/>
  <c r="M99" i="10"/>
  <c r="H65" i="10"/>
  <c r="J86" i="10"/>
  <c r="K86" i="10" s="1"/>
  <c r="M17" i="10"/>
  <c r="E262" i="10"/>
  <c r="E556" i="10"/>
  <c r="H22" i="10"/>
  <c r="H41" i="10"/>
  <c r="M139" i="10"/>
  <c r="I27" i="10"/>
  <c r="J58" i="10"/>
  <c r="L58" i="10" s="1"/>
  <c r="E71" i="10"/>
  <c r="E27" i="10"/>
  <c r="J10" i="10"/>
  <c r="K10" i="10" s="1"/>
  <c r="E424" i="10"/>
  <c r="M109" i="10"/>
  <c r="H101" i="10"/>
  <c r="M165" i="10"/>
  <c r="H104" i="10"/>
  <c r="H201" i="10"/>
  <c r="J248" i="10"/>
  <c r="L248" i="10" s="1"/>
  <c r="E242" i="10"/>
  <c r="E771" i="10"/>
  <c r="E328" i="10"/>
  <c r="E1316" i="10"/>
  <c r="I25" i="10"/>
  <c r="I49" i="10"/>
  <c r="E88" i="10"/>
  <c r="E124" i="10"/>
  <c r="E33" i="10"/>
  <c r="E11" i="10"/>
  <c r="E727" i="10"/>
  <c r="E176" i="10"/>
  <c r="M218" i="10"/>
  <c r="H110" i="10"/>
  <c r="J109" i="10"/>
  <c r="K109" i="10" s="1"/>
  <c r="J141" i="10"/>
  <c r="K141" i="10" s="1"/>
  <c r="I26" i="10"/>
  <c r="I50" i="10"/>
  <c r="E104" i="10"/>
  <c r="H135" i="10"/>
  <c r="E35" i="10"/>
  <c r="I60" i="10"/>
  <c r="M64" i="10"/>
  <c r="E343" i="10"/>
  <c r="E279" i="10"/>
  <c r="H111" i="10"/>
  <c r="J115" i="10"/>
  <c r="L115" i="10" s="1"/>
  <c r="J175" i="10"/>
  <c r="K175" i="10" s="1"/>
  <c r="M237" i="10"/>
  <c r="I41" i="10"/>
  <c r="M146" i="10"/>
  <c r="H129" i="10"/>
  <c r="E25" i="10"/>
  <c r="E142" i="10"/>
  <c r="M89" i="10"/>
  <c r="E353" i="10"/>
  <c r="M121" i="10"/>
  <c r="H73" i="10"/>
  <c r="I117" i="10"/>
  <c r="E520" i="10"/>
  <c r="E56" i="10"/>
  <c r="I132" i="10"/>
  <c r="M204" i="10"/>
  <c r="H217" i="10"/>
  <c r="E179" i="10"/>
  <c r="H78" i="10"/>
  <c r="I104" i="10"/>
  <c r="E428" i="10"/>
  <c r="J187" i="10"/>
  <c r="K187" i="10" s="1"/>
  <c r="E57" i="10"/>
  <c r="I192" i="10"/>
  <c r="H211" i="10"/>
  <c r="E302" i="10"/>
  <c r="M231" i="10"/>
  <c r="H82" i="10"/>
  <c r="I114" i="10"/>
  <c r="M145" i="10"/>
  <c r="M259" i="10"/>
  <c r="M119" i="10"/>
  <c r="E904" i="10"/>
  <c r="H124" i="10"/>
  <c r="J107" i="10"/>
  <c r="K107" i="10" s="1"/>
  <c r="H169" i="10"/>
  <c r="M77" i="10"/>
  <c r="E36" i="10"/>
  <c r="E162" i="10"/>
  <c r="M84" i="10"/>
  <c r="E87" i="10"/>
  <c r="M228" i="10"/>
  <c r="M101" i="10"/>
  <c r="E335" i="10"/>
  <c r="H72" i="10"/>
  <c r="H126" i="10"/>
  <c r="E354" i="10"/>
  <c r="M178" i="10"/>
  <c r="I135" i="10"/>
  <c r="E601" i="10"/>
  <c r="M181" i="10"/>
  <c r="I140" i="10"/>
  <c r="E554" i="10"/>
  <c r="J7" i="10"/>
  <c r="K7" i="10" s="1"/>
  <c r="E13" i="10"/>
  <c r="M51" i="10"/>
  <c r="H131" i="10"/>
  <c r="J28" i="10"/>
  <c r="K28" i="10" s="1"/>
  <c r="M67" i="10"/>
  <c r="J17" i="10"/>
  <c r="L17" i="10" s="1"/>
  <c r="M45" i="10"/>
  <c r="E72" i="10"/>
  <c r="M25" i="10"/>
  <c r="E819" i="10"/>
  <c r="E245" i="10"/>
  <c r="H20" i="10"/>
  <c r="H36" i="10"/>
  <c r="M74" i="10"/>
  <c r="I17" i="10"/>
  <c r="I42" i="10"/>
  <c r="M142" i="10"/>
  <c r="M86" i="10"/>
  <c r="I134" i="10"/>
  <c r="E41" i="10"/>
  <c r="E401" i="10"/>
  <c r="M150" i="10"/>
  <c r="M132" i="10"/>
  <c r="E1041" i="10"/>
  <c r="M105" i="10"/>
  <c r="E188" i="10"/>
  <c r="H75" i="10"/>
  <c r="E308" i="10"/>
  <c r="J60" i="10"/>
  <c r="L60" i="10" s="1"/>
  <c r="E296" i="10"/>
  <c r="I173" i="10"/>
  <c r="E797" i="10"/>
  <c r="E509" i="10"/>
  <c r="E17" i="10"/>
  <c r="E47" i="10"/>
  <c r="E7" i="10"/>
  <c r="E174" i="10"/>
  <c r="E235" i="10"/>
  <c r="E128" i="10"/>
  <c r="M111" i="10"/>
  <c r="E476" i="10"/>
  <c r="H88" i="10"/>
  <c r="I80" i="10"/>
  <c r="J88" i="10"/>
  <c r="K88" i="10" s="1"/>
  <c r="E243" i="10"/>
  <c r="J171" i="10"/>
  <c r="K171" i="10" s="1"/>
  <c r="E19" i="10"/>
  <c r="E49" i="10"/>
  <c r="M9" i="10"/>
  <c r="N9" i="10" s="1"/>
  <c r="P13" i="10" s="1"/>
  <c r="B8" i="6" s="1"/>
  <c r="E436" i="10"/>
  <c r="E248" i="10"/>
  <c r="E130" i="10"/>
  <c r="M113" i="10"/>
  <c r="E801" i="10"/>
  <c r="H96" i="10"/>
  <c r="I81" i="10"/>
  <c r="J102" i="10"/>
  <c r="K102" i="10" s="1"/>
  <c r="E281" i="10"/>
  <c r="J173" i="10"/>
  <c r="K173" i="10" s="1"/>
  <c r="H43" i="10"/>
  <c r="E105" i="10"/>
  <c r="I16" i="10"/>
  <c r="I37" i="10"/>
  <c r="M60" i="10"/>
  <c r="E186" i="10"/>
  <c r="E98" i="10"/>
  <c r="E24" i="10"/>
  <c r="E48" i="10"/>
  <c r="E574" i="10"/>
  <c r="J130" i="10"/>
  <c r="K130" i="10" s="1"/>
  <c r="M72" i="10"/>
  <c r="H219" i="10"/>
  <c r="E586" i="10"/>
  <c r="M122" i="10"/>
  <c r="E151" i="10"/>
  <c r="H94" i="10"/>
  <c r="E468" i="10"/>
  <c r="E1445" i="10"/>
  <c r="M176" i="10"/>
  <c r="E351" i="10"/>
  <c r="E439" i="10"/>
  <c r="E889" i="10"/>
  <c r="H38" i="10"/>
  <c r="J59" i="10"/>
  <c r="K59" i="10" s="1"/>
  <c r="E825" i="10"/>
  <c r="I32" i="10"/>
  <c r="I53" i="10"/>
  <c r="H14" i="10"/>
  <c r="H10" i="10"/>
  <c r="H15" i="10"/>
  <c r="E43" i="10"/>
  <c r="E167" i="10"/>
  <c r="E286" i="10"/>
  <c r="E364" i="10"/>
  <c r="E76" i="10"/>
  <c r="M195" i="10"/>
  <c r="M117" i="10"/>
  <c r="E300" i="10"/>
  <c r="H76" i="10"/>
  <c r="I128" i="10"/>
  <c r="H226" i="10"/>
  <c r="E238" i="10"/>
  <c r="H163" i="10"/>
  <c r="M243" i="10"/>
  <c r="E79" i="10"/>
  <c r="M88" i="10"/>
  <c r="M12" i="10"/>
  <c r="N12" i="10" s="1"/>
  <c r="P16" i="10" s="1"/>
  <c r="B11" i="6" s="1"/>
  <c r="E28" i="10"/>
  <c r="E51" i="10"/>
  <c r="E478" i="10"/>
  <c r="E77" i="10"/>
  <c r="E226" i="10"/>
  <c r="E1123" i="10"/>
  <c r="E84" i="10"/>
  <c r="M102" i="10"/>
  <c r="E158" i="10"/>
  <c r="E194" i="10"/>
  <c r="H89" i="10"/>
  <c r="E207" i="10"/>
  <c r="I126" i="10"/>
  <c r="J117" i="10"/>
  <c r="K117" i="10" s="1"/>
  <c r="E976" i="10"/>
  <c r="I154" i="10"/>
  <c r="I248" i="10"/>
  <c r="E80" i="10"/>
  <c r="E523" i="10"/>
  <c r="E59" i="10"/>
  <c r="E16" i="10"/>
  <c r="E40" i="10"/>
  <c r="H132" i="10"/>
  <c r="I71" i="10"/>
  <c r="E230" i="10"/>
  <c r="E118" i="10"/>
  <c r="E316" i="10"/>
  <c r="E326" i="10"/>
  <c r="M118" i="10"/>
  <c r="E239" i="10"/>
  <c r="H69" i="10"/>
  <c r="H108" i="10"/>
  <c r="I95" i="10"/>
  <c r="J77" i="10"/>
  <c r="K77" i="10" s="1"/>
  <c r="M177" i="10"/>
  <c r="H173" i="10"/>
  <c r="E219" i="10"/>
  <c r="E730" i="10"/>
  <c r="H185" i="10"/>
  <c r="E521" i="10"/>
  <c r="E396" i="10"/>
  <c r="E1002" i="10"/>
  <c r="H230" i="10"/>
  <c r="E217" i="10"/>
  <c r="E64" i="10"/>
  <c r="I129" i="10"/>
  <c r="E20" i="10"/>
  <c r="E42" i="10"/>
  <c r="J135" i="10"/>
  <c r="K135" i="10" s="1"/>
  <c r="M61" i="10"/>
  <c r="E164" i="10"/>
  <c r="M78" i="10"/>
  <c r="M93" i="10"/>
  <c r="M154" i="10"/>
  <c r="M106" i="10"/>
  <c r="E216" i="10"/>
  <c r="E155" i="10"/>
  <c r="H79" i="10"/>
  <c r="H117" i="10"/>
  <c r="I98" i="10"/>
  <c r="J75" i="10"/>
  <c r="L75" i="10" s="1"/>
  <c r="E148" i="10"/>
  <c r="E562" i="10"/>
  <c r="I181" i="10"/>
  <c r="H241" i="10"/>
  <c r="E227" i="10"/>
  <c r="E181" i="10"/>
  <c r="H80" i="10"/>
  <c r="H123" i="10"/>
  <c r="I101" i="10"/>
  <c r="J76" i="10"/>
  <c r="K76" i="10" s="1"/>
  <c r="M163" i="10"/>
  <c r="E571" i="10"/>
  <c r="I183" i="10"/>
  <c r="H251" i="10"/>
  <c r="H45" i="10"/>
  <c r="I67" i="10"/>
  <c r="M90" i="10"/>
  <c r="I23" i="10"/>
  <c r="I39" i="10"/>
  <c r="I55" i="10"/>
  <c r="E294" i="10"/>
  <c r="E81" i="10"/>
  <c r="I65" i="10"/>
  <c r="H221" i="10"/>
  <c r="E21" i="10"/>
  <c r="E37" i="10"/>
  <c r="E53" i="10"/>
  <c r="H192" i="10"/>
  <c r="I64" i="10"/>
  <c r="J132" i="10"/>
  <c r="K132" i="10" s="1"/>
  <c r="E190" i="10"/>
  <c r="M134" i="10"/>
  <c r="E99" i="10"/>
  <c r="M91" i="10"/>
  <c r="E979" i="10"/>
  <c r="M114" i="10"/>
  <c r="M220" i="10"/>
  <c r="E139" i="10"/>
  <c r="H63" i="10"/>
  <c r="H91" i="10"/>
  <c r="H121" i="10"/>
  <c r="I86" i="10"/>
  <c r="J128" i="10"/>
  <c r="K128" i="10" s="1"/>
  <c r="J98" i="10"/>
  <c r="K98" i="10" s="1"/>
  <c r="E152" i="10"/>
  <c r="E228" i="10"/>
  <c r="E287" i="10"/>
  <c r="J146" i="10"/>
  <c r="K146" i="10" s="1"/>
  <c r="E375" i="10"/>
  <c r="E862" i="10"/>
  <c r="H46" i="10"/>
  <c r="E70" i="10"/>
  <c r="E122" i="10"/>
  <c r="I24" i="10"/>
  <c r="I40" i="10"/>
  <c r="I56" i="10"/>
  <c r="E382" i="10"/>
  <c r="J9" i="10"/>
  <c r="L9" i="10" s="1"/>
  <c r="E102" i="10"/>
  <c r="E373" i="10"/>
  <c r="E22" i="10"/>
  <c r="E38" i="10"/>
  <c r="E54" i="10"/>
  <c r="E257" i="10"/>
  <c r="M68" i="10"/>
  <c r="J134" i="10"/>
  <c r="L134" i="10" s="1"/>
  <c r="H200" i="10"/>
  <c r="E153" i="10"/>
  <c r="E127" i="10"/>
  <c r="E119" i="10"/>
  <c r="M95" i="10"/>
  <c r="M115" i="10"/>
  <c r="M222" i="10"/>
  <c r="M144" i="10"/>
  <c r="H64" i="10"/>
  <c r="H92" i="10"/>
  <c r="H122" i="10"/>
  <c r="I91" i="10"/>
  <c r="E175" i="10"/>
  <c r="J101" i="10"/>
  <c r="L101" i="10" s="1"/>
  <c r="E1288" i="10"/>
  <c r="M229" i="10"/>
  <c r="E310" i="10"/>
  <c r="J148" i="10"/>
  <c r="K148" i="10" s="1"/>
  <c r="E603" i="10"/>
  <c r="E505" i="10"/>
  <c r="H37" i="10"/>
  <c r="H53" i="10"/>
  <c r="E150" i="10"/>
  <c r="E12" i="10"/>
  <c r="I31" i="10"/>
  <c r="I47" i="10"/>
  <c r="M94" i="10"/>
  <c r="E15" i="10"/>
  <c r="E74" i="10"/>
  <c r="E100" i="10"/>
  <c r="E1386" i="10"/>
  <c r="E29" i="10"/>
  <c r="E45" i="10"/>
  <c r="E83" i="10"/>
  <c r="M160" i="10"/>
  <c r="E258" i="10"/>
  <c r="E327" i="10"/>
  <c r="E69" i="10"/>
  <c r="E662" i="10"/>
  <c r="E221" i="10"/>
  <c r="H210" i="10"/>
  <c r="M104" i="10"/>
  <c r="M124" i="10"/>
  <c r="E202" i="10"/>
  <c r="E204" i="10"/>
  <c r="H77" i="10"/>
  <c r="H105" i="10"/>
  <c r="E222" i="10"/>
  <c r="I113" i="10"/>
  <c r="J61" i="10"/>
  <c r="L61" i="10" s="1"/>
  <c r="J120" i="10"/>
  <c r="L120" i="10" s="1"/>
  <c r="H213" i="10"/>
  <c r="H158" i="10"/>
  <c r="I157" i="10"/>
  <c r="E688" i="10"/>
  <c r="I201" i="10"/>
  <c r="E892" i="10"/>
  <c r="I163" i="10"/>
  <c r="E272" i="10"/>
  <c r="I211" i="10"/>
  <c r="E1407" i="10"/>
  <c r="E526" i="10"/>
  <c r="I222" i="10"/>
  <c r="H42" i="10"/>
  <c r="I58" i="10"/>
  <c r="E260" i="10"/>
  <c r="I20" i="10"/>
  <c r="I36" i="10"/>
  <c r="I52" i="10"/>
  <c r="E154" i="10"/>
  <c r="E297" i="10"/>
  <c r="M227" i="10"/>
  <c r="E187" i="10"/>
  <c r="E18" i="10"/>
  <c r="E34" i="10"/>
  <c r="E50" i="10"/>
  <c r="E157" i="10"/>
  <c r="I15" i="10"/>
  <c r="E106" i="10"/>
  <c r="E141" i="10"/>
  <c r="E111" i="10"/>
  <c r="M83" i="10"/>
  <c r="I74" i="10"/>
  <c r="E473" i="10"/>
  <c r="M110" i="10"/>
  <c r="E163" i="10"/>
  <c r="E305" i="10"/>
  <c r="H59" i="10"/>
  <c r="H85" i="10"/>
  <c r="H113" i="10"/>
  <c r="I79" i="10"/>
  <c r="I120" i="10"/>
  <c r="J79" i="10"/>
  <c r="L79" i="10" s="1"/>
  <c r="E136" i="10"/>
  <c r="E273" i="10"/>
  <c r="H181" i="10"/>
  <c r="I184" i="10"/>
  <c r="M261" i="10"/>
  <c r="J206" i="10"/>
  <c r="L206" i="10" s="1"/>
  <c r="M263" i="10"/>
  <c r="J196" i="10"/>
  <c r="L196" i="10" s="1"/>
  <c r="J152" i="10"/>
  <c r="L152" i="10" s="1"/>
  <c r="E726" i="10"/>
  <c r="J226" i="10"/>
  <c r="L226" i="10" s="1"/>
  <c r="J85" i="10"/>
  <c r="L85" i="10" s="1"/>
  <c r="E365" i="10"/>
  <c r="E408" i="10"/>
  <c r="H146" i="10"/>
  <c r="I137" i="10"/>
  <c r="J157" i="10"/>
  <c r="L157" i="10" s="1"/>
  <c r="M266" i="10"/>
  <c r="I214" i="10"/>
  <c r="E660" i="10"/>
  <c r="E182" i="10"/>
  <c r="I100" i="10"/>
  <c r="E673" i="10"/>
  <c r="J104" i="10"/>
  <c r="K104" i="10" s="1"/>
  <c r="E1058" i="10"/>
  <c r="E334" i="10"/>
  <c r="H177" i="10"/>
  <c r="I174" i="10"/>
  <c r="E261" i="10"/>
  <c r="E298" i="10"/>
  <c r="J225" i="10"/>
  <c r="K225" i="10" s="1"/>
  <c r="E1476" i="10"/>
  <c r="I188" i="10"/>
  <c r="E288" i="10"/>
  <c r="H250" i="10"/>
  <c r="J268" i="10"/>
  <c r="L268" i="10" s="1"/>
  <c r="E171" i="10"/>
  <c r="E94" i="10"/>
  <c r="E573" i="10"/>
  <c r="M107" i="10"/>
  <c r="M123" i="10"/>
  <c r="E252" i="10"/>
  <c r="E147" i="10"/>
  <c r="H61" i="10"/>
  <c r="H81" i="10"/>
  <c r="H106" i="10"/>
  <c r="J129" i="10"/>
  <c r="K129" i="10" s="1"/>
  <c r="I92" i="10"/>
  <c r="I121" i="10"/>
  <c r="J73" i="10"/>
  <c r="K73" i="10" s="1"/>
  <c r="J114" i="10"/>
  <c r="L114" i="10" s="1"/>
  <c r="H191" i="10"/>
  <c r="M206" i="10"/>
  <c r="H143" i="10"/>
  <c r="E384" i="10"/>
  <c r="I185" i="10"/>
  <c r="E388" i="10"/>
  <c r="E541" i="10"/>
  <c r="I200" i="10"/>
  <c r="J242" i="10"/>
  <c r="K242" i="10" s="1"/>
  <c r="E762" i="10"/>
  <c r="E192" i="10"/>
  <c r="E138" i="10"/>
  <c r="M96" i="10"/>
  <c r="M112" i="10"/>
  <c r="M156" i="10"/>
  <c r="E212" i="10"/>
  <c r="E165" i="10"/>
  <c r="H66" i="10"/>
  <c r="H90" i="10"/>
  <c r="H112" i="10"/>
  <c r="E278" i="10"/>
  <c r="I99" i="10"/>
  <c r="H209" i="10"/>
  <c r="J83" i="10"/>
  <c r="L83" i="10" s="1"/>
  <c r="J124" i="10"/>
  <c r="K124" i="10" s="1"/>
  <c r="M170" i="10"/>
  <c r="E345" i="10"/>
  <c r="H165" i="10"/>
  <c r="I138" i="10"/>
  <c r="J147" i="10"/>
  <c r="K147" i="10" s="1"/>
  <c r="E422" i="10"/>
  <c r="E357" i="10"/>
  <c r="I238" i="10"/>
  <c r="E514" i="10"/>
  <c r="E1338" i="10"/>
  <c r="E651" i="10"/>
  <c r="I239" i="10"/>
  <c r="E690" i="10"/>
  <c r="E1402" i="10"/>
  <c r="E792" i="10"/>
  <c r="E875" i="10"/>
  <c r="I246" i="10"/>
  <c r="E536" i="10"/>
  <c r="E600" i="10"/>
  <c r="M202" i="10"/>
  <c r="M100" i="10"/>
  <c r="M116" i="10"/>
  <c r="E210" i="10"/>
  <c r="E284" i="10"/>
  <c r="E208" i="10"/>
  <c r="H74" i="10"/>
  <c r="H95" i="10"/>
  <c r="H120" i="10"/>
  <c r="I77" i="10"/>
  <c r="I109" i="10"/>
  <c r="E387" i="10"/>
  <c r="J89" i="10"/>
  <c r="L89" i="10" s="1"/>
  <c r="E251" i="10"/>
  <c r="M180" i="10"/>
  <c r="E236" i="10"/>
  <c r="H178" i="10"/>
  <c r="I158" i="10"/>
  <c r="J164" i="10"/>
  <c r="K164" i="10" s="1"/>
  <c r="M256" i="10"/>
  <c r="H236" i="10"/>
  <c r="I264" i="10"/>
  <c r="E1139" i="10"/>
  <c r="E445" i="10"/>
  <c r="H93" i="10"/>
  <c r="H109" i="10"/>
  <c r="H125" i="10"/>
  <c r="I75" i="10"/>
  <c r="I97" i="10"/>
  <c r="I118" i="10"/>
  <c r="E404" i="10"/>
  <c r="J82" i="10"/>
  <c r="K82" i="10" s="1"/>
  <c r="J110" i="10"/>
  <c r="K110" i="10" s="1"/>
  <c r="E370" i="10"/>
  <c r="M172" i="10"/>
  <c r="E211" i="10"/>
  <c r="E269" i="10"/>
  <c r="H172" i="10"/>
  <c r="E723" i="10"/>
  <c r="I179" i="10"/>
  <c r="J154" i="10"/>
  <c r="L154" i="10" s="1"/>
  <c r="M230" i="10"/>
  <c r="M267" i="10"/>
  <c r="H232" i="10"/>
  <c r="I217" i="10"/>
  <c r="J239" i="10"/>
  <c r="K239" i="10" s="1"/>
  <c r="E635" i="10"/>
  <c r="E1393" i="10"/>
  <c r="E585" i="10"/>
  <c r="E748" i="10"/>
  <c r="E1295" i="10"/>
  <c r="E366" i="10"/>
  <c r="E133" i="10"/>
  <c r="H216" i="10"/>
  <c r="H67" i="10"/>
  <c r="H83" i="10"/>
  <c r="H99" i="10"/>
  <c r="H115" i="10"/>
  <c r="E191" i="10"/>
  <c r="I83" i="10"/>
  <c r="I107" i="10"/>
  <c r="M130" i="10"/>
  <c r="J62" i="10"/>
  <c r="L62" i="10" s="1"/>
  <c r="J90" i="10"/>
  <c r="L90" i="10" s="1"/>
  <c r="J121" i="10"/>
  <c r="L121" i="10" s="1"/>
  <c r="E161" i="10"/>
  <c r="M186" i="10"/>
  <c r="E486" i="10"/>
  <c r="H144" i="10"/>
  <c r="H189" i="10"/>
  <c r="I147" i="10"/>
  <c r="I189" i="10"/>
  <c r="J181" i="10"/>
  <c r="K181" i="10" s="1"/>
  <c r="E1017" i="10"/>
  <c r="E457" i="10"/>
  <c r="H261" i="10"/>
  <c r="I259" i="10"/>
  <c r="E640" i="10"/>
  <c r="E653" i="10"/>
  <c r="E1428" i="10"/>
  <c r="E717" i="10"/>
  <c r="M136" i="10"/>
  <c r="H227" i="10"/>
  <c r="H68" i="10"/>
  <c r="H84" i="10"/>
  <c r="H100" i="10"/>
  <c r="H116" i="10"/>
  <c r="H203" i="10"/>
  <c r="I84" i="10"/>
  <c r="I108" i="10"/>
  <c r="E156" i="10"/>
  <c r="J63" i="10"/>
  <c r="K63" i="10" s="1"/>
  <c r="J96" i="10"/>
  <c r="K96" i="10" s="1"/>
  <c r="J123" i="10"/>
  <c r="L123" i="10" s="1"/>
  <c r="E177" i="10"/>
  <c r="M187" i="10"/>
  <c r="E538" i="10"/>
  <c r="H145" i="10"/>
  <c r="I191" i="10"/>
  <c r="I151" i="10"/>
  <c r="E280" i="10"/>
  <c r="J185" i="10"/>
  <c r="K185" i="10" s="1"/>
  <c r="E577" i="10"/>
  <c r="E489" i="10"/>
  <c r="E392" i="10"/>
  <c r="I261" i="10"/>
  <c r="E566" i="10"/>
  <c r="E756" i="10"/>
  <c r="E134" i="10"/>
  <c r="M140" i="10"/>
  <c r="E265" i="10"/>
  <c r="H70" i="10"/>
  <c r="H86" i="10"/>
  <c r="H102" i="10"/>
  <c r="H118" i="10"/>
  <c r="M213" i="10"/>
  <c r="I87" i="10"/>
  <c r="I111" i="10"/>
  <c r="H195" i="10"/>
  <c r="J69" i="10"/>
  <c r="L69" i="10" s="1"/>
  <c r="J99" i="10"/>
  <c r="K99" i="10" s="1"/>
  <c r="J127" i="10"/>
  <c r="K127" i="10" s="1"/>
  <c r="E249" i="10"/>
  <c r="H224" i="10"/>
  <c r="H196" i="10"/>
  <c r="H147" i="10"/>
  <c r="M209" i="10"/>
  <c r="I155" i="10"/>
  <c r="E648" i="10"/>
  <c r="M192" i="10"/>
  <c r="M247" i="10"/>
  <c r="E757" i="10"/>
  <c r="E449" i="10"/>
  <c r="I270" i="10"/>
  <c r="E1063" i="10"/>
  <c r="E776" i="10"/>
  <c r="E172" i="10"/>
  <c r="E143" i="10"/>
  <c r="E617" i="10"/>
  <c r="H71" i="10"/>
  <c r="H87" i="10"/>
  <c r="H103" i="10"/>
  <c r="H119" i="10"/>
  <c r="M217" i="10"/>
  <c r="I89" i="10"/>
  <c r="I112" i="10"/>
  <c r="E199" i="10"/>
  <c r="J71" i="10"/>
  <c r="L71" i="10" s="1"/>
  <c r="J100" i="10"/>
  <c r="L100" i="10" s="1"/>
  <c r="M129" i="10"/>
  <c r="E350" i="10"/>
  <c r="E240" i="10"/>
  <c r="M219" i="10"/>
  <c r="H150" i="10"/>
  <c r="H215" i="10"/>
  <c r="I156" i="10"/>
  <c r="E885" i="10"/>
  <c r="M208" i="10"/>
  <c r="M249" i="10"/>
  <c r="E1098" i="10"/>
  <c r="E699" i="10"/>
  <c r="E412" i="10"/>
  <c r="E419" i="10"/>
  <c r="E977" i="10"/>
  <c r="E647" i="10"/>
  <c r="E1024" i="10"/>
  <c r="M205" i="10"/>
  <c r="J67" i="10"/>
  <c r="L67" i="10" s="1"/>
  <c r="J93" i="10"/>
  <c r="L93" i="10" s="1"/>
  <c r="J119" i="10"/>
  <c r="K119" i="10" s="1"/>
  <c r="M137" i="10"/>
  <c r="M173" i="10"/>
  <c r="E203" i="10"/>
  <c r="E232" i="10"/>
  <c r="H156" i="10"/>
  <c r="M201" i="10"/>
  <c r="I150" i="10"/>
  <c r="I186" i="10"/>
  <c r="J170" i="10"/>
  <c r="L170" i="10" s="1"/>
  <c r="E250" i="10"/>
  <c r="M265" i="10"/>
  <c r="E549" i="10"/>
  <c r="E953" i="10"/>
  <c r="I265" i="10"/>
  <c r="E675" i="10"/>
  <c r="E745" i="10"/>
  <c r="E1118" i="10"/>
  <c r="E193" i="10"/>
  <c r="I82" i="10"/>
  <c r="I103" i="10"/>
  <c r="I125" i="10"/>
  <c r="E856" i="10"/>
  <c r="J80" i="10"/>
  <c r="K80" i="10" s="1"/>
  <c r="J105" i="10"/>
  <c r="L105" i="10" s="1"/>
  <c r="M211" i="10"/>
  <c r="E324" i="10"/>
  <c r="M188" i="10"/>
  <c r="E376" i="10"/>
  <c r="H140" i="10"/>
  <c r="H174" i="10"/>
  <c r="E455" i="10"/>
  <c r="I170" i="10"/>
  <c r="J142" i="10"/>
  <c r="K142" i="10" s="1"/>
  <c r="E205" i="10"/>
  <c r="M240" i="10"/>
  <c r="E454" i="10"/>
  <c r="H248" i="10"/>
  <c r="I227" i="10"/>
  <c r="J232" i="10"/>
  <c r="K232" i="10" s="1"/>
  <c r="E1151" i="10"/>
  <c r="E952" i="10"/>
  <c r="E1183" i="10"/>
  <c r="E955" i="10"/>
  <c r="M159" i="10"/>
  <c r="M174" i="10"/>
  <c r="E749" i="10"/>
  <c r="E737" i="10"/>
  <c r="H138" i="10"/>
  <c r="H166" i="10"/>
  <c r="E214" i="10"/>
  <c r="I142" i="10"/>
  <c r="I175" i="10"/>
  <c r="J137" i="10"/>
  <c r="L137" i="10" s="1"/>
  <c r="J174" i="10"/>
  <c r="L174" i="10" s="1"/>
  <c r="H206" i="10"/>
  <c r="M248" i="10"/>
  <c r="E731" i="10"/>
  <c r="H229" i="10"/>
  <c r="E568" i="10"/>
  <c r="I245" i="10"/>
  <c r="J220" i="10"/>
  <c r="K220" i="10" s="1"/>
  <c r="E887" i="10"/>
  <c r="E994" i="10"/>
  <c r="E679" i="10"/>
  <c r="E1477" i="10"/>
  <c r="E277" i="10"/>
  <c r="J264" i="10"/>
  <c r="L264" i="10" s="1"/>
  <c r="E697" i="10"/>
  <c r="E661" i="10"/>
  <c r="E818" i="10"/>
  <c r="E1328" i="10"/>
  <c r="J70" i="10"/>
  <c r="L70" i="10" s="1"/>
  <c r="J94" i="10"/>
  <c r="K94" i="10" s="1"/>
  <c r="J118" i="10"/>
  <c r="L118" i="10" s="1"/>
  <c r="E641" i="10"/>
  <c r="M162" i="10"/>
  <c r="H205" i="10"/>
  <c r="E292" i="10"/>
  <c r="E414" i="10"/>
  <c r="H153" i="10"/>
  <c r="H186" i="10"/>
  <c r="E830" i="10"/>
  <c r="I159" i="10"/>
  <c r="E244" i="10"/>
  <c r="J161" i="10"/>
  <c r="K161" i="10" s="1"/>
  <c r="E253" i="10"/>
  <c r="E355" i="10"/>
  <c r="M270" i="10"/>
  <c r="E338" i="10"/>
  <c r="H257" i="10"/>
  <c r="I218" i="10"/>
  <c r="E309" i="10"/>
  <c r="J265" i="10"/>
  <c r="L265" i="10" s="1"/>
  <c r="E701" i="10"/>
  <c r="E870" i="10"/>
  <c r="E866" i="10"/>
  <c r="I165" i="10"/>
  <c r="E367" i="10"/>
  <c r="J167" i="10"/>
  <c r="K167" i="10" s="1"/>
  <c r="E329" i="10"/>
  <c r="E795" i="10"/>
  <c r="E339" i="10"/>
  <c r="E452" i="10"/>
  <c r="H269" i="10"/>
  <c r="I223" i="10"/>
  <c r="E553" i="10"/>
  <c r="E383" i="10"/>
  <c r="E434" i="10"/>
  <c r="E813" i="10"/>
  <c r="E1138" i="10"/>
  <c r="E144" i="10"/>
  <c r="M169" i="10"/>
  <c r="M225" i="10"/>
  <c r="E356" i="10"/>
  <c r="E336" i="10"/>
  <c r="H160" i="10"/>
  <c r="M193" i="10"/>
  <c r="I136" i="10"/>
  <c r="I167" i="10"/>
  <c r="E407" i="10"/>
  <c r="J169" i="10"/>
  <c r="K169" i="10" s="1"/>
  <c r="E340" i="10"/>
  <c r="M238" i="10"/>
  <c r="E369" i="10"/>
  <c r="E544" i="10"/>
  <c r="E374" i="10"/>
  <c r="I224" i="10"/>
  <c r="E638" i="10"/>
  <c r="E480" i="10"/>
  <c r="E533" i="10"/>
  <c r="E644" i="10"/>
  <c r="E1127" i="10"/>
  <c r="E166" i="10"/>
  <c r="I76" i="10"/>
  <c r="I93" i="10"/>
  <c r="I110" i="10"/>
  <c r="I127" i="10"/>
  <c r="E444" i="10"/>
  <c r="J72" i="10"/>
  <c r="L72" i="10" s="1"/>
  <c r="J92" i="10"/>
  <c r="K92" i="10" s="1"/>
  <c r="J111" i="10"/>
  <c r="K111" i="10" s="1"/>
  <c r="M207" i="10"/>
  <c r="M149" i="10"/>
  <c r="M166" i="10"/>
  <c r="H197" i="10"/>
  <c r="E223" i="10"/>
  <c r="H204" i="10"/>
  <c r="E931" i="10"/>
  <c r="H162" i="10"/>
  <c r="H188" i="10"/>
  <c r="E438" i="10"/>
  <c r="I152" i="10"/>
  <c r="I178" i="10"/>
  <c r="E547" i="10"/>
  <c r="J165" i="10"/>
  <c r="K165" i="10" s="1"/>
  <c r="E213" i="10"/>
  <c r="E359" i="10"/>
  <c r="M254" i="10"/>
  <c r="E630" i="10"/>
  <c r="E470" i="10"/>
  <c r="H253" i="10"/>
  <c r="I203" i="10"/>
  <c r="I254" i="10"/>
  <c r="J215" i="10"/>
  <c r="L215" i="10" s="1"/>
  <c r="E528" i="10"/>
  <c r="E1049" i="10"/>
  <c r="E621" i="10"/>
  <c r="E1027" i="10"/>
  <c r="E1250" i="10"/>
  <c r="M235" i="10"/>
  <c r="I85" i="10"/>
  <c r="I102" i="10"/>
  <c r="I119" i="10"/>
  <c r="M224" i="10"/>
  <c r="J64" i="10"/>
  <c r="K64" i="10" s="1"/>
  <c r="J84" i="10"/>
  <c r="K84" i="10" s="1"/>
  <c r="J103" i="10"/>
  <c r="K103" i="10" s="1"/>
  <c r="J122" i="10"/>
  <c r="K122" i="10" s="1"/>
  <c r="E827" i="10"/>
  <c r="E506" i="10"/>
  <c r="M179" i="10"/>
  <c r="E1011" i="10"/>
  <c r="E431" i="10"/>
  <c r="E1091" i="10"/>
  <c r="H148" i="10"/>
  <c r="H175" i="10"/>
  <c r="E256" i="10"/>
  <c r="I139" i="10"/>
  <c r="I166" i="10"/>
  <c r="I190" i="10"/>
  <c r="J151" i="10"/>
  <c r="L151" i="10" s="1"/>
  <c r="J184" i="10"/>
  <c r="K184" i="10" s="1"/>
  <c r="E838" i="10"/>
  <c r="M239" i="10"/>
  <c r="E307" i="10"/>
  <c r="E930" i="10"/>
  <c r="H237" i="10"/>
  <c r="E642" i="10"/>
  <c r="I235" i="10"/>
  <c r="E463" i="10"/>
  <c r="J251" i="10"/>
  <c r="K251" i="10" s="1"/>
  <c r="E443" i="10"/>
  <c r="E1107" i="10"/>
  <c r="E519" i="10"/>
  <c r="E1154" i="10"/>
  <c r="H127" i="10"/>
  <c r="E313" i="10"/>
  <c r="I88" i="10"/>
  <c r="I105" i="10"/>
  <c r="I123" i="10"/>
  <c r="E319" i="10"/>
  <c r="J68" i="10"/>
  <c r="L68" i="10" s="1"/>
  <c r="J87" i="10"/>
  <c r="K87" i="10" s="1"/>
  <c r="J106" i="10"/>
  <c r="K106" i="10" s="1"/>
  <c r="J126" i="10"/>
  <c r="L126" i="10" s="1"/>
  <c r="M141" i="10"/>
  <c r="M161" i="10"/>
  <c r="M185" i="10"/>
  <c r="E195" i="10"/>
  <c r="E610" i="10"/>
  <c r="E498" i="10"/>
  <c r="H154" i="10"/>
  <c r="H179" i="10"/>
  <c r="E321" i="10"/>
  <c r="I146" i="10"/>
  <c r="I171" i="10"/>
  <c r="E344" i="10"/>
  <c r="J155" i="10"/>
  <c r="K155" i="10" s="1"/>
  <c r="J189" i="10"/>
  <c r="K189" i="10" s="1"/>
  <c r="E233" i="10"/>
  <c r="M245" i="10"/>
  <c r="E358" i="10"/>
  <c r="E314" i="10"/>
  <c r="H245" i="10"/>
  <c r="I194" i="10"/>
  <c r="I243" i="10"/>
  <c r="J194" i="10"/>
  <c r="K194" i="10" s="1"/>
  <c r="J267" i="10"/>
  <c r="K267" i="10" s="1"/>
  <c r="E579" i="10"/>
  <c r="E1113" i="10"/>
  <c r="E763" i="10"/>
  <c r="E900" i="10"/>
  <c r="E255" i="10"/>
  <c r="H212" i="10"/>
  <c r="E674" i="10"/>
  <c r="H159" i="10"/>
  <c r="H182" i="10"/>
  <c r="E332" i="10"/>
  <c r="I143" i="10"/>
  <c r="I169" i="10"/>
  <c r="M221" i="10"/>
  <c r="J149" i="10"/>
  <c r="K149" i="10" s="1"/>
  <c r="J180" i="10"/>
  <c r="L180" i="10" s="1"/>
  <c r="E479" i="10"/>
  <c r="E440" i="10"/>
  <c r="M264" i="10"/>
  <c r="E393" i="10"/>
  <c r="E593" i="10"/>
  <c r="H258" i="10"/>
  <c r="I207" i="10"/>
  <c r="I249" i="10"/>
  <c r="J205" i="10"/>
  <c r="K205" i="10" s="1"/>
  <c r="E380" i="10"/>
  <c r="E626" i="10"/>
  <c r="E453" i="10"/>
  <c r="E873" i="10"/>
  <c r="E1032" i="10"/>
  <c r="E1112" i="10"/>
  <c r="E880" i="10"/>
  <c r="E1303" i="10"/>
  <c r="E1488" i="10"/>
  <c r="E664" i="10"/>
  <c r="E779" i="10"/>
  <c r="E857" i="10"/>
  <c r="E1201" i="10"/>
  <c r="E1258" i="10"/>
  <c r="J78" i="10"/>
  <c r="L78" i="10" s="1"/>
  <c r="J95" i="10"/>
  <c r="K95" i="10" s="1"/>
  <c r="J112" i="10"/>
  <c r="K112" i="10" s="1"/>
  <c r="M197" i="10"/>
  <c r="E140" i="10"/>
  <c r="E487" i="10"/>
  <c r="M175" i="10"/>
  <c r="E218" i="10"/>
  <c r="M214" i="10"/>
  <c r="E584" i="10"/>
  <c r="E462" i="10"/>
  <c r="H142" i="10"/>
  <c r="H161" i="10"/>
  <c r="H180" i="10"/>
  <c r="E241" i="10"/>
  <c r="E1222" i="10"/>
  <c r="I153" i="10"/>
  <c r="I172" i="10"/>
  <c r="H199" i="10"/>
  <c r="J145" i="10"/>
  <c r="K145" i="10" s="1"/>
  <c r="J168" i="10"/>
  <c r="K168" i="10" s="1"/>
  <c r="E197" i="10"/>
  <c r="H198" i="10"/>
  <c r="E460" i="10"/>
  <c r="M260" i="10"/>
  <c r="E529" i="10"/>
  <c r="E290" i="10"/>
  <c r="H231" i="10"/>
  <c r="H267" i="10"/>
  <c r="I202" i="10"/>
  <c r="I240" i="10"/>
  <c r="E333" i="10"/>
  <c r="J231" i="10"/>
  <c r="K231" i="10" s="1"/>
  <c r="E525" i="10"/>
  <c r="E582" i="10"/>
  <c r="E812" i="10"/>
  <c r="E645" i="10"/>
  <c r="E583" i="10"/>
  <c r="E1110" i="10"/>
  <c r="E916" i="10"/>
  <c r="E1345" i="10"/>
  <c r="E267" i="10"/>
  <c r="M153" i="10"/>
  <c r="M164" i="10"/>
  <c r="M182" i="10"/>
  <c r="E781" i="10"/>
  <c r="E311" i="10"/>
  <c r="H218" i="10"/>
  <c r="E552" i="10"/>
  <c r="H149" i="10"/>
  <c r="H170" i="10"/>
  <c r="H190" i="10"/>
  <c r="E379" i="10"/>
  <c r="I141" i="10"/>
  <c r="I162" i="10"/>
  <c r="I182" i="10"/>
  <c r="E494" i="10"/>
  <c r="J153" i="10"/>
  <c r="K153" i="10" s="1"/>
  <c r="J177" i="10"/>
  <c r="K177" i="10" s="1"/>
  <c r="E295" i="10"/>
  <c r="E352" i="10"/>
  <c r="M244" i="10"/>
  <c r="M269" i="10"/>
  <c r="E447" i="10"/>
  <c r="E524" i="10"/>
  <c r="H246" i="10"/>
  <c r="E624" i="10"/>
  <c r="I219" i="10"/>
  <c r="I255" i="10"/>
  <c r="J199" i="10"/>
  <c r="L199" i="10" s="1"/>
  <c r="J252" i="10"/>
  <c r="K252" i="10" s="1"/>
  <c r="E805" i="10"/>
  <c r="E1265" i="10"/>
  <c r="E625" i="10"/>
  <c r="E580" i="10"/>
  <c r="E861" i="10"/>
  <c r="E1218" i="10"/>
  <c r="E1179" i="10"/>
  <c r="E1387" i="10"/>
  <c r="E402" i="10"/>
  <c r="E682" i="10"/>
  <c r="E588" i="10"/>
  <c r="E1165" i="10"/>
  <c r="E1180" i="10"/>
  <c r="E1213" i="10"/>
  <c r="E1483" i="10"/>
  <c r="E711" i="10"/>
  <c r="E596" i="10"/>
  <c r="E1381" i="10"/>
  <c r="E981" i="10"/>
  <c r="E1243" i="10"/>
  <c r="J74" i="10"/>
  <c r="K74" i="10" s="1"/>
  <c r="J91" i="10"/>
  <c r="K91" i="10" s="1"/>
  <c r="J108" i="10"/>
  <c r="K108" i="10" s="1"/>
  <c r="J125" i="10"/>
  <c r="L125" i="10" s="1"/>
  <c r="E702" i="10"/>
  <c r="M203" i="10"/>
  <c r="M171" i="10"/>
  <c r="M189" i="10"/>
  <c r="M198" i="10"/>
  <c r="E385" i="10"/>
  <c r="M233" i="10"/>
  <c r="H137" i="10"/>
  <c r="H157" i="10"/>
  <c r="H176" i="10"/>
  <c r="E206" i="10"/>
  <c r="E530" i="10"/>
  <c r="I149" i="10"/>
  <c r="I168" i="10"/>
  <c r="I187" i="10"/>
  <c r="J136" i="10"/>
  <c r="K136" i="10" s="1"/>
  <c r="J162" i="10"/>
  <c r="K162" i="10" s="1"/>
  <c r="J186" i="10"/>
  <c r="K186" i="10" s="1"/>
  <c r="E515" i="10"/>
  <c r="E798" i="10"/>
  <c r="M253" i="10"/>
  <c r="E347" i="10"/>
  <c r="E691" i="10"/>
  <c r="E816" i="10"/>
  <c r="H256" i="10"/>
  <c r="I195" i="10"/>
  <c r="I232" i="10"/>
  <c r="I267" i="10"/>
  <c r="J216" i="10"/>
  <c r="L216" i="10" s="1"/>
  <c r="E363" i="10"/>
  <c r="E483" i="10"/>
  <c r="E581" i="10"/>
  <c r="E710" i="10"/>
  <c r="E1211" i="10"/>
  <c r="E1046" i="10"/>
  <c r="E1254" i="10"/>
  <c r="E1104" i="10"/>
  <c r="E456" i="10"/>
  <c r="I212" i="10"/>
  <c r="I244" i="10"/>
  <c r="E317" i="10"/>
  <c r="J221" i="10"/>
  <c r="L221" i="10" s="1"/>
  <c r="J270" i="10"/>
  <c r="L270" i="10" s="1"/>
  <c r="E395" i="10"/>
  <c r="E1380" i="10"/>
  <c r="E493" i="10"/>
  <c r="E811" i="10"/>
  <c r="E575" i="10"/>
  <c r="E1278" i="10"/>
  <c r="E989" i="10"/>
  <c r="E1306" i="10"/>
  <c r="E1492" i="10"/>
  <c r="E755" i="10"/>
  <c r="E853" i="10"/>
  <c r="E766" i="10"/>
  <c r="E722" i="10"/>
  <c r="E884" i="10"/>
  <c r="E1238" i="10"/>
  <c r="E1443" i="10"/>
  <c r="H262" i="10"/>
  <c r="I198" i="10"/>
  <c r="I228" i="10"/>
  <c r="I262" i="10"/>
  <c r="J200" i="10"/>
  <c r="L200" i="10" s="1"/>
  <c r="J249" i="10"/>
  <c r="L249" i="10" s="1"/>
  <c r="E643" i="10"/>
  <c r="E686" i="10"/>
  <c r="E777" i="10"/>
  <c r="E739" i="10"/>
  <c r="E636" i="10"/>
  <c r="E1146" i="10"/>
  <c r="E1009" i="10"/>
  <c r="E1208" i="10"/>
  <c r="E1341" i="10"/>
  <c r="E1484" i="10"/>
  <c r="E1434" i="10"/>
  <c r="E1342" i="10"/>
  <c r="H235" i="10"/>
  <c r="H266" i="10"/>
  <c r="I197" i="10"/>
  <c r="I226" i="10"/>
  <c r="I258" i="10"/>
  <c r="J193" i="10"/>
  <c r="K193" i="10" s="1"/>
  <c r="J237" i="10"/>
  <c r="L237" i="10" s="1"/>
  <c r="E472" i="10"/>
  <c r="E475" i="10"/>
  <c r="E410" i="10"/>
  <c r="E513" i="10"/>
  <c r="E685" i="10"/>
  <c r="E511" i="10"/>
  <c r="E898" i="10"/>
  <c r="E1042" i="10"/>
  <c r="E1099" i="10"/>
  <c r="E1450" i="10"/>
  <c r="E694" i="10"/>
  <c r="J222" i="10"/>
  <c r="L222" i="10" s="1"/>
  <c r="J258" i="10"/>
  <c r="K258" i="10" s="1"/>
  <c r="E531" i="10"/>
  <c r="E451" i="10"/>
  <c r="E565" i="10"/>
  <c r="E608" i="10"/>
  <c r="E545" i="10"/>
  <c r="E912" i="10"/>
  <c r="E910" i="10"/>
  <c r="E559" i="10"/>
  <c r="E922" i="10"/>
  <c r="E1257" i="10"/>
  <c r="E1369" i="10"/>
  <c r="E1004" i="10"/>
  <c r="E1161" i="10"/>
  <c r="E1169" i="10"/>
  <c r="E1352" i="10"/>
  <c r="E833" i="10"/>
  <c r="J223" i="10"/>
  <c r="L223" i="10" s="1"/>
  <c r="J260" i="10"/>
  <c r="L260" i="10" s="1"/>
  <c r="E557" i="10"/>
  <c r="E459" i="10"/>
  <c r="E614" i="10"/>
  <c r="E611" i="10"/>
  <c r="E548" i="10"/>
  <c r="E589" i="10"/>
  <c r="E918" i="10"/>
  <c r="E567" i="10"/>
  <c r="E925" i="10"/>
  <c r="E698" i="10"/>
  <c r="E941" i="10"/>
  <c r="E1089" i="10"/>
  <c r="E1170" i="10"/>
  <c r="E1378" i="10"/>
  <c r="E1416" i="10"/>
  <c r="E1389" i="10"/>
  <c r="E1131" i="10"/>
  <c r="E1463" i="10"/>
  <c r="E1495" i="10"/>
  <c r="E1390" i="10"/>
  <c r="E619" i="10"/>
  <c r="E426" i="10"/>
  <c r="E871" i="10"/>
  <c r="E704" i="10"/>
  <c r="E855" i="10"/>
  <c r="E1014" i="10"/>
  <c r="E907" i="10"/>
  <c r="E1067" i="10"/>
  <c r="E1097" i="10"/>
  <c r="E1423" i="10"/>
  <c r="E1388" i="10"/>
  <c r="E1160" i="10"/>
  <c r="E1260" i="10"/>
  <c r="J209" i="10"/>
  <c r="L209" i="10" s="1"/>
  <c r="J244" i="10"/>
  <c r="K244" i="10" s="1"/>
  <c r="E481" i="10"/>
  <c r="E929" i="10"/>
  <c r="E654" i="10"/>
  <c r="E442" i="10"/>
  <c r="E413" i="10"/>
  <c r="E881" i="10"/>
  <c r="E1016" i="10"/>
  <c r="E718" i="10"/>
  <c r="E1282" i="10"/>
  <c r="E1436" i="10"/>
  <c r="E1174" i="10"/>
  <c r="E852" i="10"/>
  <c r="E903" i="10"/>
  <c r="E1442" i="10"/>
  <c r="E1394" i="10"/>
  <c r="J210" i="10"/>
  <c r="K210" i="10" s="1"/>
  <c r="J247" i="10"/>
  <c r="L247" i="10" s="1"/>
  <c r="E532" i="10"/>
  <c r="E985" i="10"/>
  <c r="E658" i="10"/>
  <c r="E474" i="10"/>
  <c r="E421" i="10"/>
  <c r="E888" i="10"/>
  <c r="E700" i="10"/>
  <c r="E769" i="10"/>
  <c r="E945" i="10"/>
  <c r="E791" i="10"/>
  <c r="E1449" i="10"/>
  <c r="E868" i="10"/>
  <c r="E935" i="10"/>
  <c r="E1048" i="10"/>
  <c r="E1465" i="10"/>
  <c r="E381" i="10"/>
  <c r="E346" i="10"/>
  <c r="H234" i="10"/>
  <c r="H260" i="10"/>
  <c r="E822" i="10"/>
  <c r="I216" i="10"/>
  <c r="I242" i="10"/>
  <c r="I266" i="10"/>
  <c r="E1351" i="10"/>
  <c r="J219" i="10"/>
  <c r="L219" i="10" s="1"/>
  <c r="J243" i="10"/>
  <c r="K243" i="10" s="1"/>
  <c r="J269" i="10"/>
  <c r="L269" i="10" s="1"/>
  <c r="E569" i="10"/>
  <c r="E403" i="10"/>
  <c r="E633" i="10"/>
  <c r="E394" i="10"/>
  <c r="E618" i="10"/>
  <c r="E485" i="10"/>
  <c r="E865" i="10"/>
  <c r="E669" i="10"/>
  <c r="E936" i="10"/>
  <c r="E923" i="10"/>
  <c r="E1182" i="10"/>
  <c r="E901" i="10"/>
  <c r="E706" i="10"/>
  <c r="E1205" i="10"/>
  <c r="E1234" i="10"/>
  <c r="E1102" i="10"/>
  <c r="E1164" i="10"/>
  <c r="E1056" i="10"/>
  <c r="E1431" i="10"/>
  <c r="E1456" i="10"/>
  <c r="E349" i="10"/>
  <c r="J203" i="10"/>
  <c r="K203" i="10" s="1"/>
  <c r="J227" i="10"/>
  <c r="K227" i="10" s="1"/>
  <c r="J253" i="10"/>
  <c r="K253" i="10" s="1"/>
  <c r="E829" i="10"/>
  <c r="E622" i="10"/>
  <c r="E491" i="10"/>
  <c r="E733" i="10"/>
  <c r="E482" i="10"/>
  <c r="E808" i="10"/>
  <c r="E657" i="10"/>
  <c r="E787" i="10"/>
  <c r="E741" i="10"/>
  <c r="E958" i="10"/>
  <c r="E607" i="10"/>
  <c r="E864" i="10"/>
  <c r="E799" i="10"/>
  <c r="E1055" i="10"/>
  <c r="E997" i="10"/>
  <c r="E924" i="10"/>
  <c r="E967" i="10"/>
  <c r="E1300" i="10"/>
  <c r="E1426" i="10"/>
  <c r="E1455" i="10"/>
  <c r="E1398" i="10"/>
  <c r="E360" i="10"/>
  <c r="J204" i="10"/>
  <c r="L204" i="10" s="1"/>
  <c r="J228" i="10"/>
  <c r="L228" i="10" s="1"/>
  <c r="J257" i="10"/>
  <c r="K257" i="10" s="1"/>
  <c r="E464" i="10"/>
  <c r="E752" i="10"/>
  <c r="E502" i="10"/>
  <c r="E740" i="10"/>
  <c r="E501" i="10"/>
  <c r="E817" i="10"/>
  <c r="E678" i="10"/>
  <c r="E896" i="10"/>
  <c r="E744" i="10"/>
  <c r="E990" i="10"/>
  <c r="E639" i="10"/>
  <c r="E909" i="10"/>
  <c r="E954" i="10"/>
  <c r="E1068" i="10"/>
  <c r="E1054" i="10"/>
  <c r="E964" i="10"/>
  <c r="E975" i="10"/>
  <c r="E1373" i="10"/>
  <c r="E1311" i="10"/>
  <c r="E1485" i="10"/>
  <c r="E1414" i="10"/>
  <c r="E550" i="10"/>
  <c r="E1162" i="10"/>
  <c r="H228" i="10"/>
  <c r="H252" i="10"/>
  <c r="E484" i="10"/>
  <c r="I206" i="10"/>
  <c r="I233" i="10"/>
  <c r="I260" i="10"/>
  <c r="E517" i="10"/>
  <c r="J207" i="10"/>
  <c r="L207" i="10" s="1"/>
  <c r="J236" i="10"/>
  <c r="L236" i="10" s="1"/>
  <c r="J263" i="10"/>
  <c r="K263" i="10" s="1"/>
  <c r="E488" i="10"/>
  <c r="E878" i="10"/>
  <c r="E534" i="10"/>
  <c r="E821" i="10"/>
  <c r="E539" i="10"/>
  <c r="E405" i="10"/>
  <c r="E720" i="10"/>
  <c r="E597" i="10"/>
  <c r="E809" i="10"/>
  <c r="E715" i="10"/>
  <c r="E687" i="10"/>
  <c r="E1103" i="10"/>
  <c r="E886" i="10"/>
  <c r="E905" i="10"/>
  <c r="E1173" i="10"/>
  <c r="E1105" i="10"/>
  <c r="E1474" i="10"/>
  <c r="E1184" i="10"/>
  <c r="E1245" i="10"/>
  <c r="E1287" i="10"/>
  <c r="E1290" i="10"/>
  <c r="E1225" i="10"/>
  <c r="E1285" i="10"/>
  <c r="E1304" i="10"/>
  <c r="E1422" i="10"/>
  <c r="E492" i="10"/>
  <c r="I90" i="10"/>
  <c r="I106" i="10"/>
  <c r="I122" i="10"/>
  <c r="E231" i="10"/>
  <c r="J65" i="10"/>
  <c r="L65" i="10" s="1"/>
  <c r="J81" i="10"/>
  <c r="L81" i="10" s="1"/>
  <c r="J97" i="10"/>
  <c r="K97" i="10" s="1"/>
  <c r="J113" i="10"/>
  <c r="L113" i="10" s="1"/>
  <c r="E168" i="10"/>
  <c r="E849" i="10"/>
  <c r="H193" i="10"/>
  <c r="M167" i="10"/>
  <c r="M183" i="10"/>
  <c r="E448" i="10"/>
  <c r="E263" i="10"/>
  <c r="E649" i="10"/>
  <c r="E246" i="10"/>
  <c r="E1192" i="10"/>
  <c r="H151" i="10"/>
  <c r="H167" i="10"/>
  <c r="H183" i="10"/>
  <c r="M216" i="10"/>
  <c r="E587" i="10"/>
  <c r="I144" i="10"/>
  <c r="I160" i="10"/>
  <c r="I176" i="10"/>
  <c r="H207" i="10"/>
  <c r="J138" i="10"/>
  <c r="L138" i="10" s="1"/>
  <c r="J158" i="10"/>
  <c r="K158" i="10" s="1"/>
  <c r="J178" i="10"/>
  <c r="K178" i="10" s="1"/>
  <c r="H225" i="10"/>
  <c r="H214" i="10"/>
  <c r="E423" i="10"/>
  <c r="M250" i="10"/>
  <c r="E275" i="10"/>
  <c r="E761" i="10"/>
  <c r="E1429" i="10"/>
  <c r="E670" i="10"/>
  <c r="H242" i="10"/>
  <c r="H263" i="10"/>
  <c r="E725" i="10"/>
  <c r="I208" i="10"/>
  <c r="I229" i="10"/>
  <c r="I250" i="10"/>
  <c r="E285" i="10"/>
  <c r="J190" i="10"/>
  <c r="K190" i="10" s="1"/>
  <c r="J211" i="10"/>
  <c r="L211" i="10" s="1"/>
  <c r="J233" i="10"/>
  <c r="L233" i="10" s="1"/>
  <c r="J254" i="10"/>
  <c r="L254" i="10" s="1"/>
  <c r="E399" i="10"/>
  <c r="E592" i="10"/>
  <c r="E1082" i="10"/>
  <c r="E537" i="10"/>
  <c r="E867" i="10"/>
  <c r="E450" i="10"/>
  <c r="E667" i="10"/>
  <c r="E461" i="10"/>
  <c r="E966" i="10"/>
  <c r="E942" i="10"/>
  <c r="E703" i="10"/>
  <c r="E604" i="10"/>
  <c r="E1019" i="10"/>
  <c r="E835" i="10"/>
  <c r="E1052" i="10"/>
  <c r="E815" i="10"/>
  <c r="E834" i="10"/>
  <c r="E1264" i="10"/>
  <c r="E1073" i="10"/>
  <c r="E1121" i="10"/>
  <c r="E991" i="10"/>
  <c r="E1396" i="10"/>
  <c r="E1128" i="10"/>
  <c r="E1466" i="10"/>
  <c r="E1489" i="10"/>
  <c r="E1430" i="10"/>
  <c r="E184" i="10"/>
  <c r="M128" i="10"/>
  <c r="M199" i="10"/>
  <c r="M168" i="10"/>
  <c r="M184" i="10"/>
  <c r="E594" i="10"/>
  <c r="E268" i="10"/>
  <c r="E683" i="10"/>
  <c r="E304" i="10"/>
  <c r="H136" i="10"/>
  <c r="H152" i="10"/>
  <c r="H168" i="10"/>
  <c r="H184" i="10"/>
  <c r="E225" i="10"/>
  <c r="E681" i="10"/>
  <c r="I145" i="10"/>
  <c r="I161" i="10"/>
  <c r="I177" i="10"/>
  <c r="H220" i="10"/>
  <c r="J139" i="10"/>
  <c r="K139" i="10" s="1"/>
  <c r="J159" i="10"/>
  <c r="K159" i="10" s="1"/>
  <c r="J179" i="10"/>
  <c r="L179" i="10" s="1"/>
  <c r="E247" i="10"/>
  <c r="M215" i="10"/>
  <c r="E433" i="10"/>
  <c r="M251" i="10"/>
  <c r="E283" i="10"/>
  <c r="E372" i="10"/>
  <c r="E274" i="10"/>
  <c r="E734" i="10"/>
  <c r="H244" i="10"/>
  <c r="H264" i="10"/>
  <c r="E760" i="10"/>
  <c r="I210" i="10"/>
  <c r="I230" i="10"/>
  <c r="I251" i="10"/>
  <c r="E301" i="10"/>
  <c r="J191" i="10"/>
  <c r="L191" i="10" s="1"/>
  <c r="J212" i="10"/>
  <c r="K212" i="10" s="1"/>
  <c r="J235" i="10"/>
  <c r="L235" i="10" s="1"/>
  <c r="J255" i="10"/>
  <c r="L255" i="10" s="1"/>
  <c r="E406" i="10"/>
  <c r="E602" i="10"/>
  <c r="E1186" i="10"/>
  <c r="E540" i="10"/>
  <c r="E1227" i="10"/>
  <c r="E458" i="10"/>
  <c r="E696" i="10"/>
  <c r="E477" i="10"/>
  <c r="E984" i="10"/>
  <c r="E987" i="10"/>
  <c r="E735" i="10"/>
  <c r="E612" i="10"/>
  <c r="E1230" i="10"/>
  <c r="E850" i="10"/>
  <c r="E1069" i="10"/>
  <c r="E937" i="10"/>
  <c r="E971" i="10"/>
  <c r="E1359" i="10"/>
  <c r="E1095" i="10"/>
  <c r="E1194" i="10"/>
  <c r="E1039" i="10"/>
  <c r="E1109" i="10"/>
  <c r="E1181" i="10"/>
  <c r="E1340" i="10"/>
  <c r="E1320" i="10"/>
  <c r="E1033" i="10"/>
  <c r="E555" i="10"/>
  <c r="H139" i="10"/>
  <c r="H155" i="10"/>
  <c r="H171" i="10"/>
  <c r="H187" i="10"/>
  <c r="E264" i="10"/>
  <c r="E1177" i="10"/>
  <c r="I148" i="10"/>
  <c r="I164" i="10"/>
  <c r="I180" i="10"/>
  <c r="E271" i="10"/>
  <c r="J143" i="10"/>
  <c r="L143" i="10" s="1"/>
  <c r="J163" i="10"/>
  <c r="L163" i="10" s="1"/>
  <c r="J183" i="10"/>
  <c r="L183" i="10" s="1"/>
  <c r="E276" i="10"/>
  <c r="M234" i="10"/>
  <c r="E500" i="10"/>
  <c r="M255" i="10"/>
  <c r="E323" i="10"/>
  <c r="E390" i="10"/>
  <c r="E306" i="10"/>
  <c r="E1365" i="10"/>
  <c r="H247" i="10"/>
  <c r="H268" i="10"/>
  <c r="E993" i="10"/>
  <c r="I213" i="10"/>
  <c r="I234" i="10"/>
  <c r="I256" i="10"/>
  <c r="E325" i="10"/>
  <c r="J195" i="10"/>
  <c r="L195" i="10" s="1"/>
  <c r="J217" i="10"/>
  <c r="K217" i="10" s="1"/>
  <c r="J238" i="10"/>
  <c r="L238" i="10" s="1"/>
  <c r="J259" i="10"/>
  <c r="L259" i="10" s="1"/>
  <c r="E598" i="10"/>
  <c r="E672" i="10"/>
  <c r="E411" i="10"/>
  <c r="E609" i="10"/>
  <c r="E758" i="10"/>
  <c r="E490" i="10"/>
  <c r="E836" i="10"/>
  <c r="E510" i="10"/>
  <c r="E790" i="10"/>
  <c r="E605" i="10"/>
  <c r="E753" i="10"/>
  <c r="E652" i="10"/>
  <c r="E527" i="10"/>
  <c r="E1000" i="10"/>
  <c r="E1275" i="10"/>
  <c r="E1145" i="10"/>
  <c r="E1043" i="10"/>
  <c r="E933" i="10"/>
  <c r="E1415" i="10"/>
  <c r="E1452" i="10"/>
  <c r="E1437" i="10"/>
  <c r="E1305" i="10"/>
  <c r="E1481" i="10"/>
  <c r="E1228" i="10"/>
  <c r="E1408" i="10"/>
  <c r="J144" i="10"/>
  <c r="K144" i="10" s="1"/>
  <c r="J160" i="10"/>
  <c r="L160" i="10" s="1"/>
  <c r="J176" i="10"/>
  <c r="K176" i="10" s="1"/>
  <c r="M200" i="10"/>
  <c r="E465" i="10"/>
  <c r="E237" i="10"/>
  <c r="E430" i="10"/>
  <c r="M246" i="10"/>
  <c r="M262" i="10"/>
  <c r="E331" i="10"/>
  <c r="E774" i="10"/>
  <c r="E785" i="10"/>
  <c r="E368" i="10"/>
  <c r="E1372" i="10"/>
  <c r="H243" i="10"/>
  <c r="H259" i="10"/>
  <c r="E446" i="10"/>
  <c r="I193" i="10"/>
  <c r="I209" i="10"/>
  <c r="I225" i="10"/>
  <c r="I241" i="10"/>
  <c r="I257" i="10"/>
  <c r="E293" i="10"/>
  <c r="E680" i="10"/>
  <c r="J202" i="10"/>
  <c r="K202" i="10" s="1"/>
  <c r="J218" i="10"/>
  <c r="L218" i="10" s="1"/>
  <c r="J234" i="10"/>
  <c r="K234" i="10" s="1"/>
  <c r="J250" i="10"/>
  <c r="L250" i="10" s="1"/>
  <c r="J266" i="10"/>
  <c r="L266" i="10" s="1"/>
  <c r="E606" i="10"/>
  <c r="E595" i="10"/>
  <c r="E882" i="10"/>
  <c r="E467" i="10"/>
  <c r="E616" i="10"/>
  <c r="E1022" i="10"/>
  <c r="E418" i="10"/>
  <c r="E578" i="10"/>
  <c r="E841" i="10"/>
  <c r="E469" i="10"/>
  <c r="E689" i="10"/>
  <c r="E707" i="10"/>
  <c r="E613" i="10"/>
  <c r="E709" i="10"/>
  <c r="E572" i="10"/>
  <c r="E1070" i="10"/>
  <c r="E551" i="10"/>
  <c r="E839" i="10"/>
  <c r="E890" i="10"/>
  <c r="E914" i="10"/>
  <c r="E851" i="10"/>
  <c r="E961" i="10"/>
  <c r="E1018" i="10"/>
  <c r="E1005" i="10"/>
  <c r="E1441" i="10"/>
  <c r="E1153" i="10"/>
  <c r="E911" i="10"/>
  <c r="E1322" i="10"/>
  <c r="E1356" i="10"/>
  <c r="E1152" i="10"/>
  <c r="E1296" i="10"/>
  <c r="E1421" i="10"/>
  <c r="E1336" i="10"/>
  <c r="E1358" i="10"/>
  <c r="E659" i="10"/>
  <c r="J150" i="10"/>
  <c r="K150" i="10" s="1"/>
  <c r="J166" i="10"/>
  <c r="L166" i="10" s="1"/>
  <c r="J182" i="10"/>
  <c r="K182" i="10" s="1"/>
  <c r="M226" i="10"/>
  <c r="M191" i="10"/>
  <c r="E417" i="10"/>
  <c r="E590" i="10"/>
  <c r="M252" i="10"/>
  <c r="M268" i="10"/>
  <c r="E471" i="10"/>
  <c r="E400" i="10"/>
  <c r="E282" i="10"/>
  <c r="E564" i="10"/>
  <c r="H233" i="10"/>
  <c r="H249" i="10"/>
  <c r="H265" i="10"/>
  <c r="E634" i="10"/>
  <c r="I199" i="10"/>
  <c r="I215" i="10"/>
  <c r="I231" i="10"/>
  <c r="I247" i="10"/>
  <c r="I263" i="10"/>
  <c r="E341" i="10"/>
  <c r="J192" i="10"/>
  <c r="L192" i="10" s="1"/>
  <c r="J208" i="10"/>
  <c r="L208" i="10" s="1"/>
  <c r="J224" i="10"/>
  <c r="K224" i="10" s="1"/>
  <c r="J240" i="10"/>
  <c r="L240" i="10" s="1"/>
  <c r="J256" i="10"/>
  <c r="L256" i="10" s="1"/>
  <c r="E377" i="10"/>
  <c r="E499" i="10"/>
  <c r="E847" i="10"/>
  <c r="E1332" i="10"/>
  <c r="E508" i="10"/>
  <c r="E665" i="10"/>
  <c r="E960" i="10"/>
  <c r="E466" i="10"/>
  <c r="E632" i="10"/>
  <c r="E1087" i="10"/>
  <c r="E542" i="10"/>
  <c r="E1100" i="10"/>
  <c r="E832" i="10"/>
  <c r="E677" i="10"/>
  <c r="E772" i="10"/>
  <c r="E628" i="10"/>
  <c r="E796" i="10"/>
  <c r="E631" i="10"/>
  <c r="E1206" i="10"/>
  <c r="E1094" i="10"/>
  <c r="E783" i="10"/>
  <c r="E1385" i="10"/>
  <c r="E1060" i="10"/>
  <c r="E1074" i="10"/>
  <c r="E1286" i="10"/>
  <c r="E908" i="10"/>
  <c r="E1086" i="10"/>
  <c r="E1062" i="10"/>
  <c r="E1240" i="10"/>
  <c r="E1313" i="10"/>
  <c r="E1266" i="10"/>
  <c r="E1397" i="10"/>
  <c r="E1223" i="10"/>
  <c r="E1299" i="10"/>
  <c r="E1446" i="10"/>
  <c r="E1231" i="10"/>
  <c r="E1315" i="10"/>
  <c r="E1454" i="10"/>
  <c r="E1247" i="10"/>
  <c r="E1355" i="10"/>
  <c r="E1462" i="10"/>
  <c r="E1363" i="10"/>
  <c r="E224" i="10"/>
  <c r="E879" i="10"/>
  <c r="M241" i="10"/>
  <c r="M257" i="10"/>
  <c r="E291" i="10"/>
  <c r="E705" i="10"/>
  <c r="E497" i="10"/>
  <c r="E322" i="10"/>
  <c r="E765" i="10"/>
  <c r="H238" i="10"/>
  <c r="H254" i="10"/>
  <c r="H270" i="10"/>
  <c r="E784" i="10"/>
  <c r="I204" i="10"/>
  <c r="I220" i="10"/>
  <c r="I236" i="10"/>
  <c r="I252" i="10"/>
  <c r="I268" i="10"/>
  <c r="E496" i="10"/>
  <c r="J197" i="10"/>
  <c r="L197" i="10" s="1"/>
  <c r="J213" i="10"/>
  <c r="L213" i="10" s="1"/>
  <c r="J229" i="10"/>
  <c r="L229" i="10" s="1"/>
  <c r="J245" i="10"/>
  <c r="K245" i="10" s="1"/>
  <c r="J261" i="10"/>
  <c r="L261" i="10" s="1"/>
  <c r="E409" i="10"/>
  <c r="E560" i="10"/>
  <c r="E764" i="10"/>
  <c r="E427" i="10"/>
  <c r="E546" i="10"/>
  <c r="E708" i="10"/>
  <c r="E378" i="10"/>
  <c r="E504" i="10"/>
  <c r="E724" i="10"/>
  <c r="E429" i="10"/>
  <c r="E646" i="10"/>
  <c r="E814" i="10"/>
  <c r="E992" i="10"/>
  <c r="E938" i="10"/>
  <c r="E894" i="10"/>
  <c r="E668" i="10"/>
  <c r="E1410" i="10"/>
  <c r="E695" i="10"/>
  <c r="E962" i="10"/>
  <c r="E842" i="10"/>
  <c r="E944" i="10"/>
  <c r="E738" i="10"/>
  <c r="E921" i="10"/>
  <c r="E965" i="10"/>
  <c r="E1108" i="10"/>
  <c r="E1020" i="10"/>
  <c r="E1134" i="10"/>
  <c r="E1226" i="10"/>
  <c r="E1117" i="10"/>
  <c r="E1064" i="10"/>
  <c r="E1375" i="10"/>
  <c r="E1268" i="10"/>
  <c r="E1354" i="10"/>
  <c r="E1403" i="10"/>
  <c r="J140" i="10"/>
  <c r="L140" i="10" s="1"/>
  <c r="J156" i="10"/>
  <c r="K156" i="10" s="1"/>
  <c r="J172" i="10"/>
  <c r="K172" i="10" s="1"/>
  <c r="J188" i="10"/>
  <c r="K188" i="10" s="1"/>
  <c r="E318" i="10"/>
  <c r="E229" i="10"/>
  <c r="E1003" i="10"/>
  <c r="M242" i="10"/>
  <c r="M258" i="10"/>
  <c r="E299" i="10"/>
  <c r="E716" i="10"/>
  <c r="E558" i="10"/>
  <c r="E330" i="10"/>
  <c r="E793" i="10"/>
  <c r="H239" i="10"/>
  <c r="H255" i="10"/>
  <c r="E371" i="10"/>
  <c r="E788" i="10"/>
  <c r="I205" i="10"/>
  <c r="I221" i="10"/>
  <c r="I237" i="10"/>
  <c r="I253" i="10"/>
  <c r="I269" i="10"/>
  <c r="E512" i="10"/>
  <c r="J198" i="10"/>
  <c r="L198" i="10" s="1"/>
  <c r="J214" i="10"/>
  <c r="L214" i="10" s="1"/>
  <c r="J230" i="10"/>
  <c r="L230" i="10" s="1"/>
  <c r="J246" i="10"/>
  <c r="L246" i="10" s="1"/>
  <c r="J262" i="10"/>
  <c r="K262" i="10" s="1"/>
  <c r="E416" i="10"/>
  <c r="E563" i="10"/>
  <c r="E800" i="10"/>
  <c r="E435" i="10"/>
  <c r="E576" i="10"/>
  <c r="E729" i="10"/>
  <c r="E386" i="10"/>
  <c r="E507" i="10"/>
  <c r="E728" i="10"/>
  <c r="E437" i="10"/>
  <c r="E650" i="10"/>
  <c r="E828" i="10"/>
  <c r="E1189" i="10"/>
  <c r="E969" i="10"/>
  <c r="E902" i="10"/>
  <c r="E712" i="10"/>
  <c r="E495" i="10"/>
  <c r="E721" i="10"/>
  <c r="E1006" i="10"/>
  <c r="E848" i="10"/>
  <c r="E947" i="10"/>
  <c r="E746" i="10"/>
  <c r="E998" i="10"/>
  <c r="E973" i="10"/>
  <c r="E1111" i="10"/>
  <c r="E1028" i="10"/>
  <c r="E1346" i="10"/>
  <c r="E1273" i="10"/>
  <c r="E1125" i="10"/>
  <c r="E1080" i="10"/>
  <c r="E1439" i="10"/>
  <c r="E1284" i="10"/>
  <c r="E1361" i="10"/>
  <c r="E1411" i="10"/>
  <c r="E503" i="10"/>
  <c r="E655" i="10"/>
  <c r="E1142" i="10"/>
  <c r="E893" i="10"/>
  <c r="E877" i="10"/>
  <c r="E807" i="10"/>
  <c r="E1119" i="10"/>
  <c r="E968" i="10"/>
  <c r="E1084" i="10"/>
  <c r="E1453" i="10"/>
  <c r="E1202" i="10"/>
  <c r="E1457" i="10"/>
  <c r="E1047" i="10"/>
  <c r="E1115" i="10"/>
  <c r="E1007" i="10"/>
  <c r="E1487" i="10"/>
  <c r="E1141" i="10"/>
  <c r="E1490" i="10"/>
  <c r="E1166" i="10"/>
  <c r="E1302" i="10"/>
  <c r="E1292" i="10"/>
  <c r="E1255" i="10"/>
  <c r="E1480" i="10"/>
  <c r="E1366" i="10"/>
  <c r="E676" i="10"/>
  <c r="E995" i="10"/>
  <c r="E591" i="10"/>
  <c r="E843" i="10"/>
  <c r="E1065" i="10"/>
  <c r="E1241" i="10"/>
  <c r="E1349" i="10"/>
  <c r="E854" i="10"/>
  <c r="E754" i="10"/>
  <c r="E840" i="10"/>
  <c r="E1294" i="10"/>
  <c r="E1021" i="10"/>
  <c r="E1124" i="10"/>
  <c r="E932" i="10"/>
  <c r="E1479" i="10"/>
  <c r="E919" i="10"/>
  <c r="E1280" i="10"/>
  <c r="E1383" i="10"/>
  <c r="E1193" i="10"/>
  <c r="E1172" i="10"/>
  <c r="E1469" i="10"/>
  <c r="E1220" i="10"/>
  <c r="E1159" i="10"/>
  <c r="E1344" i="10"/>
  <c r="E1419" i="10"/>
  <c r="E806" i="10"/>
  <c r="E1081" i="10"/>
  <c r="E615" i="10"/>
  <c r="E891" i="10"/>
  <c r="E1444" i="10"/>
  <c r="E1281" i="10"/>
  <c r="E767" i="10"/>
  <c r="E863" i="10"/>
  <c r="E770" i="10"/>
  <c r="E869" i="10"/>
  <c r="E1433" i="10"/>
  <c r="E1106" i="10"/>
  <c r="E1140" i="10"/>
  <c r="E972" i="10"/>
  <c r="E1050" i="10"/>
  <c r="E943" i="10"/>
  <c r="E1447" i="10"/>
  <c r="E1093" i="10"/>
  <c r="E1232" i="10"/>
  <c r="E1262" i="10"/>
  <c r="E1221" i="10"/>
  <c r="E1236" i="10"/>
  <c r="E1199" i="10"/>
  <c r="E1392" i="10"/>
  <c r="E1451" i="10"/>
  <c r="E939" i="10"/>
  <c r="E742" i="10"/>
  <c r="E637" i="10"/>
  <c r="E732" i="10"/>
  <c r="E986" i="10"/>
  <c r="E820" i="10"/>
  <c r="E1126" i="10"/>
  <c r="E623" i="10"/>
  <c r="E899" i="10"/>
  <c r="E858" i="10"/>
  <c r="E1291" i="10"/>
  <c r="E775" i="10"/>
  <c r="E883" i="10"/>
  <c r="E802" i="10"/>
  <c r="E872" i="10"/>
  <c r="E1051" i="10"/>
  <c r="E1122" i="10"/>
  <c r="E1143" i="10"/>
  <c r="E988" i="10"/>
  <c r="E1053" i="10"/>
  <c r="E951" i="10"/>
  <c r="E1460" i="10"/>
  <c r="E1101" i="10"/>
  <c r="E1242" i="10"/>
  <c r="E1309" i="10"/>
  <c r="E1237" i="10"/>
  <c r="E1244" i="10"/>
  <c r="E1215" i="10"/>
  <c r="E1400" i="10"/>
  <c r="E1467" i="10"/>
  <c r="C370" i="10"/>
  <c r="C43" i="10"/>
  <c r="E1323" i="10"/>
  <c r="E1382" i="10"/>
  <c r="E1333" i="10"/>
  <c r="E1458" i="10"/>
  <c r="E1279" i="10"/>
  <c r="E1432" i="10"/>
  <c r="E1459" i="10"/>
  <c r="E1412" i="10"/>
  <c r="E1367" i="10"/>
  <c r="E1327" i="10"/>
  <c r="E1298" i="10"/>
  <c r="E1472" i="10"/>
  <c r="E1475" i="10"/>
  <c r="C950" i="10"/>
  <c r="C645" i="10"/>
  <c r="C776" i="10"/>
  <c r="C93" i="10"/>
  <c r="B13" i="10"/>
  <c r="B1195" i="10"/>
  <c r="E736" i="10"/>
  <c r="E780" i="10"/>
  <c r="E629" i="10"/>
  <c r="E1329" i="10"/>
  <c r="E846" i="10"/>
  <c r="E620" i="10"/>
  <c r="E1038" i="10"/>
  <c r="E1158" i="10"/>
  <c r="E599" i="10"/>
  <c r="E773" i="10"/>
  <c r="E1308" i="10"/>
  <c r="E906" i="10"/>
  <c r="E1493" i="10"/>
  <c r="E751" i="10"/>
  <c r="E1203" i="10"/>
  <c r="E714" i="10"/>
  <c r="E978" i="10"/>
  <c r="E934" i="10"/>
  <c r="E1045" i="10"/>
  <c r="E1013" i="10"/>
  <c r="E1079" i="10"/>
  <c r="E876" i="10"/>
  <c r="E1036" i="10"/>
  <c r="E1059" i="10"/>
  <c r="E927" i="10"/>
  <c r="E1219" i="10"/>
  <c r="E1176" i="10"/>
  <c r="E1157" i="10"/>
  <c r="E1325" i="10"/>
  <c r="E1190" i="10"/>
  <c r="E1405" i="10"/>
  <c r="E1409" i="10"/>
  <c r="E1276" i="10"/>
  <c r="E1167" i="10"/>
  <c r="E1425" i="10"/>
  <c r="E1464" i="10"/>
  <c r="E1427" i="10"/>
  <c r="E1406" i="10"/>
  <c r="C1211" i="10"/>
  <c r="B277" i="10"/>
  <c r="B1153" i="10"/>
  <c r="C1306" i="10"/>
  <c r="B925" i="10"/>
  <c r="C1171" i="10"/>
  <c r="B397" i="10"/>
  <c r="C600" i="10"/>
  <c r="E1360" i="10"/>
  <c r="E1331" i="10"/>
  <c r="E1491" i="10"/>
  <c r="E1470" i="10"/>
  <c r="C211" i="10"/>
  <c r="C113" i="10"/>
  <c r="C1129" i="10"/>
  <c r="E389" i="10"/>
  <c r="E516" i="10"/>
  <c r="E768" i="10"/>
  <c r="E1061" i="10"/>
  <c r="E1030" i="10"/>
  <c r="E693" i="10"/>
  <c r="E747" i="10"/>
  <c r="E1130" i="10"/>
  <c r="E684" i="10"/>
  <c r="E803" i="10"/>
  <c r="E535" i="10"/>
  <c r="E663" i="10"/>
  <c r="E928" i="10"/>
  <c r="E1270" i="10"/>
  <c r="E1116" i="10"/>
  <c r="E917" i="10"/>
  <c r="E823" i="10"/>
  <c r="E974" i="10"/>
  <c r="E778" i="10"/>
  <c r="E1155" i="10"/>
  <c r="E1071" i="10"/>
  <c r="E949" i="10"/>
  <c r="E1188" i="10"/>
  <c r="E1171" i="10"/>
  <c r="E940" i="10"/>
  <c r="E1217" i="10"/>
  <c r="E1248" i="10"/>
  <c r="E1015" i="10"/>
  <c r="E1246" i="10"/>
  <c r="E1077" i="10"/>
  <c r="E1163" i="10"/>
  <c r="E1088" i="10"/>
  <c r="E1209" i="10"/>
  <c r="E1261" i="10"/>
  <c r="E1204" i="10"/>
  <c r="E1357" i="10"/>
  <c r="E1263" i="10"/>
  <c r="E1368" i="10"/>
  <c r="E1339" i="10"/>
  <c r="E1318" i="10"/>
  <c r="E1486" i="10"/>
  <c r="B292" i="10"/>
  <c r="C1288" i="10"/>
  <c r="E397" i="10"/>
  <c r="E522" i="10"/>
  <c r="E804" i="10"/>
  <c r="E1148" i="10"/>
  <c r="E1040" i="10"/>
  <c r="E713" i="10"/>
  <c r="E750" i="10"/>
  <c r="E1471" i="10"/>
  <c r="E692" i="10"/>
  <c r="E824" i="10"/>
  <c r="E543" i="10"/>
  <c r="E671" i="10"/>
  <c r="E963" i="10"/>
  <c r="E1370" i="10"/>
  <c r="E1156" i="10"/>
  <c r="E950" i="10"/>
  <c r="E831" i="10"/>
  <c r="E1035" i="10"/>
  <c r="E786" i="10"/>
  <c r="E837" i="10"/>
  <c r="E1168" i="10"/>
  <c r="E957" i="10"/>
  <c r="E1195" i="10"/>
  <c r="E1197" i="10"/>
  <c r="E956" i="10"/>
  <c r="E1267" i="10"/>
  <c r="E1335" i="10"/>
  <c r="E1031" i="10"/>
  <c r="E1297" i="10"/>
  <c r="E1085" i="10"/>
  <c r="E1178" i="10"/>
  <c r="E1096" i="10"/>
  <c r="E1249" i="10"/>
  <c r="E1277" i="10"/>
  <c r="E1212" i="10"/>
  <c r="E1364" i="10"/>
  <c r="E1271" i="10"/>
  <c r="E1384" i="10"/>
  <c r="E1347" i="10"/>
  <c r="E1326" i="10"/>
  <c r="B1010" i="10"/>
  <c r="C141" i="10"/>
  <c r="C504" i="10"/>
  <c r="C1376" i="10"/>
  <c r="B1179" i="10"/>
  <c r="E915" i="10"/>
  <c r="E1025" i="10"/>
  <c r="E982" i="10"/>
  <c r="E845" i="10"/>
  <c r="E743" i="10"/>
  <c r="E1001" i="10"/>
  <c r="E1132" i="10"/>
  <c r="E794" i="10"/>
  <c r="E1114" i="10"/>
  <c r="E1010" i="10"/>
  <c r="E1198" i="10"/>
  <c r="E1037" i="10"/>
  <c r="E1076" i="10"/>
  <c r="E844" i="10"/>
  <c r="E980" i="10"/>
  <c r="E1272" i="10"/>
  <c r="E1150" i="10"/>
  <c r="E983" i="10"/>
  <c r="E1283" i="10"/>
  <c r="E1185" i="10"/>
  <c r="E1149" i="10"/>
  <c r="E1235" i="10"/>
  <c r="E1120" i="10"/>
  <c r="E1259" i="10"/>
  <c r="E1253" i="10"/>
  <c r="E1404" i="10"/>
  <c r="E1330" i="10"/>
  <c r="E1191" i="10"/>
  <c r="E1418" i="10"/>
  <c r="E1424" i="10"/>
  <c r="E1379" i="10"/>
  <c r="E1334" i="10"/>
  <c r="E1478" i="10"/>
  <c r="E946" i="10"/>
  <c r="E1129" i="10"/>
  <c r="E1057" i="10"/>
  <c r="E874" i="10"/>
  <c r="E759" i="10"/>
  <c r="E1075" i="10"/>
  <c r="E1274" i="10"/>
  <c r="E810" i="10"/>
  <c r="E1224" i="10"/>
  <c r="E1034" i="10"/>
  <c r="E1417" i="10"/>
  <c r="E1090" i="10"/>
  <c r="E1092" i="10"/>
  <c r="E860" i="10"/>
  <c r="E996" i="10"/>
  <c r="E1377" i="10"/>
  <c r="E1319" i="10"/>
  <c r="E999" i="10"/>
  <c r="E1314" i="10"/>
  <c r="E1233" i="10"/>
  <c r="E1196" i="10"/>
  <c r="E1289" i="10"/>
  <c r="E1144" i="10"/>
  <c r="E1343" i="10"/>
  <c r="E1269" i="10"/>
  <c r="E1461" i="10"/>
  <c r="E1401" i="10"/>
  <c r="E1207" i="10"/>
  <c r="E1482" i="10"/>
  <c r="E1448" i="10"/>
  <c r="E1395" i="10"/>
  <c r="E1350" i="10"/>
  <c r="E1494" i="10"/>
  <c r="C256" i="10"/>
  <c r="B441" i="10"/>
  <c r="C399" i="10"/>
  <c r="B821" i="10"/>
  <c r="C1410" i="10"/>
  <c r="B238" i="10"/>
  <c r="C230" i="10"/>
  <c r="C402" i="10"/>
  <c r="E1012" i="10"/>
  <c r="E1324" i="10"/>
  <c r="E1147" i="10"/>
  <c r="E959" i="10"/>
  <c r="E1216" i="10"/>
  <c r="E1353" i="10"/>
  <c r="E1413" i="10"/>
  <c r="E1321" i="10"/>
  <c r="E1317" i="10"/>
  <c r="E1136" i="10"/>
  <c r="E1256" i="10"/>
  <c r="E1229" i="10"/>
  <c r="E1473" i="10"/>
  <c r="E1252" i="10"/>
  <c r="E1391" i="10"/>
  <c r="E1239" i="10"/>
  <c r="E1312" i="10"/>
  <c r="E1440" i="10"/>
  <c r="E1371" i="10"/>
  <c r="E1310" i="10"/>
  <c r="E1438" i="10"/>
  <c r="C44" i="10"/>
  <c r="B843" i="10"/>
  <c r="C395" i="10"/>
  <c r="C13" i="10"/>
  <c r="C418" i="10"/>
  <c r="B266" i="10"/>
  <c r="B420" i="10"/>
  <c r="B864" i="10"/>
  <c r="C1458" i="10"/>
  <c r="E826" i="10"/>
  <c r="E1251" i="10"/>
  <c r="E1026" i="10"/>
  <c r="E1214" i="10"/>
  <c r="E1029" i="10"/>
  <c r="E1044" i="10"/>
  <c r="E1420" i="10"/>
  <c r="E948" i="10"/>
  <c r="E1137" i="10"/>
  <c r="E1083" i="10"/>
  <c r="E895" i="10"/>
  <c r="E1023" i="10"/>
  <c r="E1362" i="10"/>
  <c r="E1210" i="10"/>
  <c r="E1133" i="10"/>
  <c r="E1187" i="10"/>
  <c r="E1072" i="10"/>
  <c r="E1399" i="10"/>
  <c r="E1348" i="10"/>
  <c r="E1293" i="10"/>
  <c r="E1468" i="10"/>
  <c r="E1337" i="10"/>
  <c r="E1175" i="10"/>
  <c r="E1301" i="10"/>
  <c r="E1376" i="10"/>
  <c r="E1307" i="10"/>
  <c r="E1435" i="10"/>
  <c r="C809" i="10"/>
  <c r="C1466" i="10"/>
  <c r="B116" i="10"/>
  <c r="B173" i="10"/>
  <c r="B1008" i="10"/>
  <c r="C457" i="10"/>
  <c r="B675" i="10"/>
  <c r="B733" i="10"/>
  <c r="B846" i="10"/>
  <c r="C785" i="10"/>
  <c r="C834" i="10"/>
  <c r="B836" i="10"/>
  <c r="B1084" i="10"/>
  <c r="B1099" i="10"/>
  <c r="C373" i="10"/>
  <c r="B89" i="10"/>
  <c r="B25" i="10"/>
  <c r="B346" i="10"/>
  <c r="B1087" i="10"/>
  <c r="B944" i="10"/>
  <c r="C401" i="10"/>
  <c r="C110" i="10"/>
  <c r="B26" i="10"/>
  <c r="C358" i="10"/>
  <c r="B446" i="10"/>
  <c r="B450" i="10"/>
  <c r="B209" i="10"/>
  <c r="B484" i="10"/>
  <c r="B1381" i="10"/>
  <c r="C357" i="10"/>
  <c r="C332" i="10"/>
  <c r="C566" i="10"/>
  <c r="B284" i="10"/>
  <c r="C421" i="10"/>
  <c r="B1252" i="10"/>
  <c r="B418" i="10"/>
  <c r="C453" i="10"/>
  <c r="C722" i="10"/>
  <c r="C1386" i="10"/>
  <c r="B1354" i="10"/>
  <c r="K52" i="10"/>
  <c r="L52" i="10"/>
  <c r="C89" i="10"/>
  <c r="B609" i="10"/>
  <c r="B930" i="10"/>
  <c r="B19" i="10"/>
  <c r="C26" i="10"/>
  <c r="B113" i="10"/>
  <c r="B109" i="10"/>
  <c r="B192" i="10"/>
  <c r="B489" i="10"/>
  <c r="C845" i="10"/>
  <c r="B686" i="10"/>
  <c r="B369" i="10"/>
  <c r="B543" i="10"/>
  <c r="C543" i="10"/>
  <c r="C1054" i="10"/>
  <c r="C1285" i="10"/>
  <c r="C1467" i="10"/>
  <c r="B1406" i="10"/>
  <c r="C1486" i="10"/>
  <c r="B1425" i="10"/>
  <c r="L55" i="10"/>
  <c r="K55" i="10"/>
  <c r="C10" i="10"/>
  <c r="C652" i="10"/>
  <c r="B93" i="10"/>
  <c r="C66" i="10"/>
  <c r="C327" i="10"/>
  <c r="B20" i="10"/>
  <c r="C37" i="10"/>
  <c r="C198" i="10"/>
  <c r="C524" i="10"/>
  <c r="C120" i="10"/>
  <c r="C351" i="10"/>
  <c r="B293" i="10"/>
  <c r="B466" i="10"/>
  <c r="B338" i="10"/>
  <c r="C407" i="10"/>
  <c r="B741" i="10"/>
  <c r="B923" i="10"/>
  <c r="C917" i="10"/>
  <c r="B952" i="10"/>
  <c r="C549" i="10"/>
  <c r="C1480" i="10"/>
  <c r="B591" i="10"/>
  <c r="C907" i="10"/>
  <c r="C698" i="10"/>
  <c r="B1333" i="10"/>
  <c r="C961" i="10"/>
  <c r="B805" i="10"/>
  <c r="C1161" i="10"/>
  <c r="B967" i="10"/>
  <c r="C1134" i="10"/>
  <c r="C1341" i="10"/>
  <c r="C1332" i="10"/>
  <c r="B1091" i="10"/>
  <c r="C1272" i="10"/>
  <c r="C1475" i="10"/>
  <c r="K133" i="10"/>
  <c r="L133" i="10"/>
  <c r="C500" i="10"/>
  <c r="B692" i="10"/>
  <c r="C796" i="10"/>
  <c r="B991" i="10"/>
  <c r="B1299" i="10"/>
  <c r="C46" i="10"/>
  <c r="B504" i="10"/>
  <c r="B499" i="10"/>
  <c r="B829" i="10"/>
  <c r="B37" i="10"/>
  <c r="C641" i="10"/>
  <c r="B364" i="10"/>
  <c r="B1025" i="10"/>
  <c r="C1096" i="10"/>
  <c r="B645" i="10"/>
  <c r="C14" i="10"/>
  <c r="C64" i="10"/>
  <c r="C166" i="10"/>
  <c r="C279" i="10"/>
  <c r="C706" i="10"/>
  <c r="C345" i="10"/>
  <c r="B628" i="10"/>
  <c r="B643" i="10"/>
  <c r="C675" i="10"/>
  <c r="B1011" i="10"/>
  <c r="B680" i="10"/>
  <c r="C1126" i="10"/>
  <c r="C891" i="10"/>
  <c r="C690" i="10"/>
  <c r="B934" i="10"/>
  <c r="C749" i="10"/>
  <c r="B752" i="10"/>
  <c r="B1410" i="10"/>
  <c r="C1240" i="10"/>
  <c r="K8" i="10"/>
  <c r="K40" i="10"/>
  <c r="L40" i="10"/>
  <c r="C159" i="10"/>
  <c r="B354" i="10"/>
  <c r="B24" i="10"/>
  <c r="C39" i="10"/>
  <c r="B98" i="10"/>
  <c r="C145" i="10"/>
  <c r="B362" i="10"/>
  <c r="C471" i="10"/>
  <c r="B349" i="10"/>
  <c r="C567" i="10"/>
  <c r="C403" i="10"/>
  <c r="B475" i="10"/>
  <c r="C1036" i="10"/>
  <c r="C410" i="10"/>
  <c r="C752" i="10"/>
  <c r="C1146" i="10"/>
  <c r="C552" i="10"/>
  <c r="B1061" i="10"/>
  <c r="C1204" i="10"/>
  <c r="C945" i="10"/>
  <c r="C592" i="10"/>
  <c r="C1185" i="10"/>
  <c r="B1346" i="10"/>
  <c r="B1424" i="10"/>
  <c r="C1056" i="10"/>
  <c r="B1373" i="10"/>
  <c r="C1359" i="10"/>
  <c r="B1336" i="10"/>
  <c r="B1273" i="10"/>
  <c r="B1102" i="10"/>
  <c r="C1280" i="10"/>
  <c r="B1202" i="10"/>
  <c r="K16" i="10"/>
  <c r="L16" i="10"/>
  <c r="K46" i="10"/>
  <c r="L46" i="10"/>
  <c r="C45" i="10"/>
  <c r="C162" i="10"/>
  <c r="C1108" i="10"/>
  <c r="B837" i="10"/>
  <c r="B88" i="10"/>
  <c r="B149" i="10"/>
  <c r="C601" i="10"/>
  <c r="B1420" i="10"/>
  <c r="B819" i="10"/>
  <c r="C496" i="10"/>
  <c r="B1137" i="10"/>
  <c r="B62" i="10"/>
  <c r="B405" i="10"/>
  <c r="B840" i="10"/>
  <c r="C1340" i="10"/>
  <c r="C1051" i="10"/>
  <c r="B1371" i="10"/>
  <c r="K20" i="10"/>
  <c r="L20" i="10"/>
  <c r="C58" i="10"/>
  <c r="C119" i="10"/>
  <c r="C273" i="10"/>
  <c r="B1012" i="10"/>
  <c r="B612" i="10"/>
  <c r="C653" i="10"/>
  <c r="B1349" i="10"/>
  <c r="B301" i="10"/>
  <c r="C130" i="10"/>
  <c r="B873" i="10"/>
  <c r="C936" i="10"/>
  <c r="B42" i="10"/>
  <c r="C953" i="10"/>
  <c r="C416" i="10"/>
  <c r="C75" i="10"/>
  <c r="B341" i="10"/>
  <c r="C360" i="10"/>
  <c r="C304" i="10"/>
  <c r="C521" i="10"/>
  <c r="C693" i="10"/>
  <c r="B980" i="10"/>
  <c r="B772" i="10"/>
  <c r="C424" i="10"/>
  <c r="B640" i="10"/>
  <c r="B801" i="10"/>
  <c r="B655" i="10"/>
  <c r="B891" i="10"/>
  <c r="B1450" i="10"/>
  <c r="C1110" i="10"/>
  <c r="B1089" i="10"/>
  <c r="B1188" i="10"/>
  <c r="C952" i="10"/>
  <c r="C1413" i="10"/>
  <c r="B1147" i="10"/>
  <c r="B1046" i="10"/>
  <c r="C1399" i="10"/>
  <c r="B1396" i="10"/>
  <c r="B1231" i="10"/>
  <c r="B1258" i="10"/>
  <c r="C1472" i="10"/>
  <c r="C750" i="10"/>
  <c r="B69" i="10"/>
  <c r="B890" i="10"/>
  <c r="B498" i="10"/>
  <c r="B199" i="10"/>
  <c r="C204" i="10"/>
  <c r="B505" i="10"/>
  <c r="B1026" i="10"/>
  <c r="B1241" i="10"/>
  <c r="C823" i="10"/>
  <c r="B423" i="10"/>
  <c r="B1055" i="10"/>
  <c r="C1059" i="10"/>
  <c r="B613" i="10"/>
  <c r="C199" i="10"/>
  <c r="C379" i="10"/>
  <c r="B140" i="10"/>
  <c r="C1073" i="10"/>
  <c r="C1265" i="10"/>
  <c r="C897" i="10"/>
  <c r="C657" i="10"/>
  <c r="C920" i="10"/>
  <c r="C766" i="10"/>
  <c r="B790" i="10"/>
  <c r="C1010" i="10"/>
  <c r="B169" i="10"/>
  <c r="B267" i="10"/>
  <c r="C965" i="10"/>
  <c r="C135" i="10"/>
  <c r="B340" i="10"/>
  <c r="B296" i="10"/>
  <c r="B913" i="10"/>
  <c r="C814" i="10"/>
  <c r="B1151" i="10"/>
  <c r="B1435" i="10"/>
  <c r="B9" i="10"/>
  <c r="C16" i="10"/>
  <c r="B107" i="10"/>
  <c r="B422" i="10"/>
  <c r="B363" i="10"/>
  <c r="C312" i="10"/>
  <c r="C697" i="10"/>
  <c r="B810" i="10"/>
  <c r="C896" i="10"/>
  <c r="B954" i="10"/>
  <c r="B1074" i="10"/>
  <c r="B1451" i="10"/>
  <c r="B1206" i="10"/>
  <c r="C1276" i="10"/>
  <c r="B1482" i="10"/>
  <c r="C275" i="10"/>
  <c r="C73" i="10"/>
  <c r="B53" i="10"/>
  <c r="C18" i="10"/>
  <c r="B119" i="10"/>
  <c r="C129" i="10"/>
  <c r="C287" i="10"/>
  <c r="C957" i="10"/>
  <c r="C177" i="10"/>
  <c r="C832" i="10"/>
  <c r="B544" i="10"/>
  <c r="C329" i="10"/>
  <c r="C434" i="10"/>
  <c r="C568" i="10"/>
  <c r="B334" i="10"/>
  <c r="C635" i="10"/>
  <c r="C344" i="10"/>
  <c r="C536" i="10"/>
  <c r="B440" i="10"/>
  <c r="C525" i="10"/>
  <c r="C865" i="10"/>
  <c r="C1127" i="10"/>
  <c r="C995" i="10"/>
  <c r="C899" i="10"/>
  <c r="C855" i="10"/>
  <c r="C1239" i="10"/>
  <c r="C1337" i="10"/>
  <c r="C263" i="10"/>
  <c r="B844" i="10"/>
  <c r="L56" i="10"/>
  <c r="K56" i="10"/>
  <c r="B168" i="10"/>
  <c r="B635" i="10"/>
  <c r="B502" i="10"/>
  <c r="B783" i="10"/>
  <c r="C1002" i="10"/>
  <c r="C1296" i="10"/>
  <c r="B957" i="10"/>
  <c r="B181" i="10"/>
  <c r="C731" i="10"/>
  <c r="B134" i="10"/>
  <c r="B426" i="10"/>
  <c r="B747" i="10"/>
  <c r="B1033" i="10"/>
  <c r="C1104" i="10"/>
  <c r="B1272" i="10"/>
  <c r="B424" i="10"/>
  <c r="C1182" i="10"/>
  <c r="B1284" i="10"/>
  <c r="B1489" i="10"/>
  <c r="B1221" i="10"/>
  <c r="B326" i="10"/>
  <c r="C156" i="10"/>
  <c r="B79" i="10"/>
  <c r="B44" i="10"/>
  <c r="B120" i="10"/>
  <c r="C775" i="10"/>
  <c r="B177" i="10"/>
  <c r="C367" i="10"/>
  <c r="C276" i="10"/>
  <c r="B240" i="10"/>
  <c r="C720" i="10"/>
  <c r="B1220" i="10"/>
  <c r="B1114" i="10"/>
  <c r="B1268" i="10"/>
  <c r="C1329" i="10"/>
  <c r="C104" i="10"/>
  <c r="B282" i="10"/>
  <c r="C84" i="10"/>
  <c r="C556" i="10"/>
  <c r="C268" i="10"/>
  <c r="C80" i="10"/>
  <c r="C307" i="10"/>
  <c r="B54" i="10"/>
  <c r="C23" i="10"/>
  <c r="C172" i="10"/>
  <c r="B151" i="10"/>
  <c r="B86" i="10"/>
  <c r="B669" i="10"/>
  <c r="C305" i="10"/>
  <c r="B167" i="10"/>
  <c r="C232" i="10"/>
  <c r="C258" i="10"/>
  <c r="C801" i="10"/>
  <c r="B320" i="10"/>
  <c r="C352" i="10"/>
  <c r="C528" i="10"/>
  <c r="B671" i="10"/>
  <c r="C538" i="10"/>
  <c r="C877" i="10"/>
  <c r="B814" i="10"/>
  <c r="B988" i="10"/>
  <c r="C918" i="10"/>
  <c r="C1254" i="10"/>
  <c r="B1056" i="10"/>
  <c r="C887" i="10"/>
  <c r="B1205" i="10"/>
  <c r="B1235" i="10"/>
  <c r="B1322" i="10"/>
  <c r="C1247" i="10"/>
  <c r="B1274" i="10"/>
  <c r="C1266" i="10"/>
  <c r="C1315" i="10"/>
  <c r="C1310" i="10"/>
  <c r="C1385" i="10"/>
  <c r="C425" i="10"/>
  <c r="B27" i="10"/>
  <c r="B141" i="10"/>
  <c r="B311" i="10"/>
  <c r="B745" i="10"/>
  <c r="B1327" i="10"/>
  <c r="C1043" i="10"/>
  <c r="B36" i="10"/>
  <c r="C753" i="10"/>
  <c r="C361" i="10"/>
  <c r="B887" i="10"/>
  <c r="B256" i="10"/>
  <c r="B178" i="10"/>
  <c r="C222" i="10"/>
  <c r="C763" i="10"/>
  <c r="B287" i="10"/>
  <c r="B953" i="10"/>
  <c r="B610" i="10"/>
  <c r="B1477" i="10"/>
  <c r="B305" i="10"/>
  <c r="C686" i="10"/>
  <c r="C689" i="10"/>
  <c r="B918" i="10"/>
  <c r="B1470" i="10"/>
  <c r="B638" i="10"/>
  <c r="C677" i="10"/>
  <c r="C297" i="10"/>
  <c r="B1254" i="10"/>
  <c r="B132" i="10"/>
  <c r="C385" i="10"/>
  <c r="B97" i="10"/>
  <c r="B343" i="10"/>
  <c r="C347" i="10"/>
  <c r="B87" i="10"/>
  <c r="B438" i="10"/>
  <c r="C59" i="10"/>
  <c r="C24" i="10"/>
  <c r="B129" i="10"/>
  <c r="B713" i="10"/>
  <c r="C174" i="10"/>
  <c r="B271" i="10"/>
  <c r="C236" i="10"/>
  <c r="B308" i="10"/>
  <c r="B883" i="10"/>
  <c r="B644" i="10"/>
  <c r="C694" i="10"/>
  <c r="C606" i="10"/>
  <c r="B358" i="10"/>
  <c r="C438" i="10"/>
  <c r="B461" i="10"/>
  <c r="B448" i="10"/>
  <c r="C713" i="10"/>
  <c r="C546" i="10"/>
  <c r="C888" i="10"/>
  <c r="B892" i="10"/>
  <c r="B1028" i="10"/>
  <c r="C1268" i="10"/>
  <c r="C1023" i="10"/>
  <c r="B1495" i="10"/>
  <c r="C1212" i="10"/>
  <c r="B1335" i="10"/>
  <c r="B1453" i="10"/>
  <c r="C1255" i="10"/>
  <c r="B1178" i="10"/>
  <c r="C1274" i="10"/>
  <c r="C1323" i="10"/>
  <c r="C1377" i="10"/>
  <c r="B1465" i="10"/>
  <c r="B1401" i="10"/>
  <c r="B1337" i="10"/>
  <c r="C1430" i="10"/>
  <c r="C1302" i="10"/>
  <c r="B1438" i="10"/>
  <c r="B1374" i="10"/>
  <c r="B1310" i="10"/>
  <c r="C1403" i="10"/>
  <c r="B1469" i="10"/>
  <c r="B1348" i="10"/>
  <c r="C1218" i="10"/>
  <c r="B1415" i="10"/>
  <c r="C1301" i="10"/>
  <c r="B1475" i="10"/>
  <c r="B1347" i="10"/>
  <c r="B1263" i="10"/>
  <c r="B1199" i="10"/>
  <c r="B1483" i="10"/>
  <c r="B1355" i="10"/>
  <c r="C1431" i="10"/>
  <c r="C1273" i="10"/>
  <c r="B1134" i="10"/>
  <c r="B1070" i="10"/>
  <c r="B1229" i="10"/>
  <c r="C1107" i="10"/>
  <c r="B1399" i="10"/>
  <c r="C1209" i="10"/>
  <c r="C1434" i="10"/>
  <c r="B1249" i="10"/>
  <c r="B1166" i="10"/>
  <c r="B1444" i="10"/>
  <c r="C1277" i="10"/>
  <c r="C1400" i="10"/>
  <c r="C1367" i="10"/>
  <c r="C1416" i="10"/>
  <c r="C1191" i="10"/>
  <c r="C1071" i="10"/>
  <c r="C946" i="10"/>
  <c r="C1289" i="10"/>
  <c r="C1065" i="10"/>
  <c r="C975" i="10"/>
  <c r="C847" i="10"/>
  <c r="C1053" i="10"/>
  <c r="C992" i="10"/>
  <c r="B1278" i="10"/>
  <c r="B1129" i="10"/>
  <c r="B1443" i="10"/>
  <c r="C1184" i="10"/>
  <c r="C1106" i="10"/>
  <c r="C1029" i="10"/>
  <c r="B1076" i="10"/>
  <c r="B948" i="10"/>
  <c r="C846" i="10"/>
  <c r="B776" i="10"/>
  <c r="B712" i="10"/>
  <c r="B992" i="10"/>
  <c r="B881" i="10"/>
  <c r="C789" i="10"/>
  <c r="B1380" i="10"/>
  <c r="B1124" i="10"/>
  <c r="B985" i="10"/>
  <c r="C866" i="10"/>
  <c r="B1174" i="10"/>
  <c r="C981" i="10"/>
  <c r="B869" i="10"/>
  <c r="C778" i="10"/>
  <c r="B1009" i="10"/>
  <c r="C854" i="10"/>
  <c r="B778" i="10"/>
  <c r="B1171" i="10"/>
  <c r="B996" i="10"/>
  <c r="C838" i="10"/>
  <c r="B1085" i="10"/>
  <c r="B942" i="10"/>
  <c r="B1030" i="10"/>
  <c r="C730" i="10"/>
  <c r="C626" i="10"/>
  <c r="C498" i="10"/>
  <c r="C724" i="10"/>
  <c r="B642" i="10"/>
  <c r="B578" i="10"/>
  <c r="B514" i="10"/>
  <c r="C679" i="10"/>
  <c r="C1444" i="10"/>
  <c r="B1004" i="10"/>
  <c r="B831" i="10"/>
  <c r="B695" i="10"/>
  <c r="B631" i="10"/>
  <c r="B567" i="10"/>
  <c r="B1021" i="10"/>
  <c r="B755" i="10"/>
  <c r="C648" i="10"/>
  <c r="B1122" i="10"/>
  <c r="B916" i="10"/>
  <c r="B774" i="10"/>
  <c r="C1246" i="10"/>
  <c r="C827" i="10"/>
  <c r="C588" i="10"/>
  <c r="C480" i="10"/>
  <c r="B1185" i="10"/>
  <c r="B531" i="10"/>
  <c r="B715" i="10"/>
  <c r="C545" i="10"/>
  <c r="C413" i="10"/>
  <c r="B689" i="10"/>
  <c r="B493" i="10"/>
  <c r="B429" i="10"/>
  <c r="B365" i="10"/>
  <c r="B893" i="10"/>
  <c r="B705" i="10"/>
  <c r="C486" i="10"/>
  <c r="C1095" i="10"/>
  <c r="B517" i="10"/>
  <c r="B1095" i="10"/>
  <c r="C483" i="10"/>
  <c r="C812" i="10"/>
  <c r="B565" i="10"/>
  <c r="B331" i="10"/>
  <c r="B1488" i="10"/>
  <c r="B667" i="10"/>
  <c r="B478" i="10"/>
  <c r="C1312" i="10"/>
  <c r="B492" i="10"/>
  <c r="C553" i="10"/>
  <c r="B402" i="10"/>
  <c r="C309" i="10"/>
  <c r="B842" i="10"/>
  <c r="B587" i="10"/>
  <c r="B444" i="10"/>
  <c r="C509" i="10"/>
  <c r="C310" i="10"/>
  <c r="C710" i="10"/>
  <c r="B518" i="10"/>
  <c r="C372" i="10"/>
  <c r="B302" i="10"/>
  <c r="B356" i="10"/>
  <c r="C240" i="10"/>
  <c r="C337" i="10"/>
  <c r="C196" i="10"/>
  <c r="C484" i="10"/>
  <c r="B325" i="10"/>
  <c r="C224" i="10"/>
  <c r="B375" i="10"/>
  <c r="B237" i="10"/>
  <c r="B740" i="10"/>
  <c r="B451" i="10"/>
  <c r="B276" i="10"/>
  <c r="B775" i="10"/>
  <c r="C404" i="10"/>
  <c r="C949" i="10"/>
  <c r="B527" i="10"/>
  <c r="C319" i="10"/>
  <c r="C194" i="10"/>
  <c r="B564" i="10"/>
  <c r="B394" i="10"/>
  <c r="B210" i="10"/>
  <c r="B539" i="10"/>
  <c r="C216" i="10"/>
  <c r="B749" i="10"/>
  <c r="B216" i="10"/>
  <c r="C1476" i="10"/>
  <c r="C501" i="10"/>
  <c r="C274" i="10"/>
  <c r="C160" i="10"/>
  <c r="C441" i="10"/>
  <c r="B206" i="10"/>
  <c r="C132" i="10"/>
  <c r="B244" i="10"/>
  <c r="C143" i="10"/>
  <c r="C1369" i="10"/>
  <c r="C1422" i="10"/>
  <c r="C1294" i="10"/>
  <c r="C1395" i="10"/>
  <c r="C1210" i="10"/>
  <c r="B1234" i="10"/>
  <c r="B1170" i="10"/>
  <c r="B1408" i="10"/>
  <c r="C1298" i="10"/>
  <c r="B1325" i="10"/>
  <c r="B1246" i="10"/>
  <c r="C1370" i="10"/>
  <c r="C1222" i="10"/>
  <c r="C1099" i="10"/>
  <c r="B1386" i="10"/>
  <c r="B1115" i="10"/>
  <c r="B1440" i="10"/>
  <c r="C1176" i="10"/>
  <c r="C938" i="10"/>
  <c r="B1285" i="10"/>
  <c r="B986" i="10"/>
  <c r="B922" i="10"/>
  <c r="B1289" i="10"/>
  <c r="B1068" i="10"/>
  <c r="C967" i="10"/>
  <c r="C839" i="10"/>
  <c r="B1201" i="10"/>
  <c r="C1050" i="10"/>
  <c r="B983" i="10"/>
  <c r="B919" i="10"/>
  <c r="B855" i="10"/>
  <c r="C1192" i="10"/>
  <c r="C1097" i="10"/>
  <c r="C984" i="10"/>
  <c r="B1428" i="10"/>
  <c r="C1180" i="10"/>
  <c r="B1103" i="10"/>
  <c r="C1021" i="10"/>
  <c r="C1072" i="10"/>
  <c r="B945" i="10"/>
  <c r="C843" i="10"/>
  <c r="C988" i="10"/>
  <c r="B878" i="10"/>
  <c r="C781" i="10"/>
  <c r="C860" i="10"/>
  <c r="B781" i="10"/>
  <c r="B866" i="10"/>
  <c r="C770" i="10"/>
  <c r="C1163" i="10"/>
  <c r="C851" i="10"/>
  <c r="B1121" i="10"/>
  <c r="B993" i="10"/>
  <c r="B1315" i="10"/>
  <c r="C1025" i="10"/>
  <c r="C618" i="10"/>
  <c r="B1466" i="10"/>
  <c r="C1004" i="10"/>
  <c r="B817" i="10"/>
  <c r="C671" i="10"/>
  <c r="B1402" i="10"/>
  <c r="C824" i="10"/>
  <c r="B848" i="10"/>
  <c r="B734" i="10"/>
  <c r="C640" i="10"/>
  <c r="C1105" i="10"/>
  <c r="C904" i="10"/>
  <c r="B767" i="10"/>
  <c r="B656" i="10"/>
  <c r="B1225" i="10"/>
  <c r="B904" i="10"/>
  <c r="C585" i="10"/>
  <c r="C472" i="10"/>
  <c r="B605" i="10"/>
  <c r="B528" i="10"/>
  <c r="B464" i="10"/>
  <c r="B400" i="10"/>
  <c r="B886" i="10"/>
  <c r="C711" i="10"/>
  <c r="C542" i="10"/>
  <c r="C405" i="10"/>
  <c r="B685" i="10"/>
  <c r="C683" i="10"/>
  <c r="C478" i="10"/>
  <c r="B1058" i="10"/>
  <c r="B589" i="10"/>
  <c r="C748" i="10"/>
  <c r="C619" i="10"/>
  <c r="C475" i="10"/>
  <c r="B806" i="10"/>
  <c r="C433" i="10"/>
  <c r="B1434" i="10"/>
  <c r="C662" i="10"/>
  <c r="B474" i="10"/>
  <c r="B1291" i="10"/>
  <c r="B684" i="10"/>
  <c r="B352" i="10"/>
  <c r="B288" i="10"/>
  <c r="C833" i="10"/>
  <c r="B540" i="10"/>
  <c r="B399" i="10"/>
  <c r="C301" i="10"/>
  <c r="B574" i="10"/>
  <c r="C427" i="10"/>
  <c r="B337" i="10"/>
  <c r="B273" i="10"/>
  <c r="C780" i="10"/>
  <c r="C302" i="10"/>
  <c r="B509" i="10"/>
  <c r="B706" i="10"/>
  <c r="B223" i="10"/>
  <c r="B568" i="10"/>
  <c r="C314" i="10"/>
  <c r="B926" i="10"/>
  <c r="B314" i="10"/>
  <c r="B637" i="10"/>
  <c r="B233" i="10"/>
  <c r="B729" i="10"/>
  <c r="C271" i="10"/>
  <c r="B390" i="10"/>
  <c r="B257" i="10"/>
  <c r="B880" i="10"/>
  <c r="C315" i="10"/>
  <c r="B559" i="10"/>
  <c r="B270" i="10"/>
  <c r="B188" i="10"/>
  <c r="C742" i="10"/>
  <c r="C186" i="10"/>
  <c r="B708" i="10"/>
  <c r="C1397" i="10"/>
  <c r="B370" i="10"/>
  <c r="C168" i="10"/>
  <c r="B495" i="10"/>
  <c r="C262" i="10"/>
  <c r="B401" i="10"/>
  <c r="C200" i="10"/>
  <c r="B131" i="10"/>
  <c r="C139" i="10"/>
  <c r="C308" i="10"/>
  <c r="B100" i="10"/>
  <c r="C391" i="10"/>
  <c r="B159" i="10"/>
  <c r="B67" i="10"/>
  <c r="C215" i="10"/>
  <c r="C81" i="10"/>
  <c r="B102" i="10"/>
  <c r="C193" i="10"/>
  <c r="B73" i="10"/>
  <c r="B248" i="10"/>
  <c r="C49" i="10"/>
  <c r="C33" i="10"/>
  <c r="C17" i="10"/>
  <c r="C209" i="10"/>
  <c r="C1489" i="10"/>
  <c r="C1361" i="10"/>
  <c r="B1457" i="10"/>
  <c r="B1393" i="10"/>
  <c r="B1329" i="10"/>
  <c r="C1414" i="10"/>
  <c r="B1494" i="10"/>
  <c r="B1430" i="10"/>
  <c r="B1366" i="10"/>
  <c r="B1302" i="10"/>
  <c r="C1387" i="10"/>
  <c r="B1341" i="10"/>
  <c r="C1202" i="10"/>
  <c r="C1415" i="10"/>
  <c r="C1287" i="10"/>
  <c r="B1255" i="10"/>
  <c r="B1191" i="10"/>
  <c r="C1426" i="10"/>
  <c r="B1404" i="10"/>
  <c r="C1229" i="10"/>
  <c r="B1126" i="10"/>
  <c r="B1062" i="10"/>
  <c r="B1219" i="10"/>
  <c r="C1091" i="10"/>
  <c r="B1370" i="10"/>
  <c r="C1412" i="10"/>
  <c r="B1436" i="10"/>
  <c r="C1267" i="10"/>
  <c r="B1340" i="10"/>
  <c r="C1405" i="10"/>
  <c r="C1168" i="10"/>
  <c r="C930" i="10"/>
  <c r="C1281" i="10"/>
  <c r="B1281" i="10"/>
  <c r="B1065" i="10"/>
  <c r="C959" i="10"/>
  <c r="B1177" i="10"/>
  <c r="C976" i="10"/>
  <c r="C1227" i="10"/>
  <c r="C1119" i="10"/>
  <c r="B1040" i="10"/>
  <c r="B1394" i="10"/>
  <c r="B1173" i="10"/>
  <c r="B1100" i="10"/>
  <c r="C1013" i="10"/>
  <c r="B832" i="10"/>
  <c r="B768" i="10"/>
  <c r="B704" i="10"/>
  <c r="C1159" i="10"/>
  <c r="C985" i="10"/>
  <c r="B875" i="10"/>
  <c r="C773" i="10"/>
  <c r="B1331" i="10"/>
  <c r="B1106" i="10"/>
  <c r="C840" i="10"/>
  <c r="C1141" i="10"/>
  <c r="C971" i="10"/>
  <c r="C762" i="10"/>
  <c r="B1154" i="10"/>
  <c r="B981" i="10"/>
  <c r="B834" i="10"/>
  <c r="B770" i="10"/>
  <c r="B1108" i="10"/>
  <c r="B830" i="10"/>
  <c r="B1296" i="10"/>
  <c r="C1061" i="10"/>
  <c r="B987" i="10"/>
  <c r="C790" i="10"/>
  <c r="C610" i="10"/>
  <c r="B982" i="10"/>
  <c r="B698" i="10"/>
  <c r="B634" i="10"/>
  <c r="B570" i="10"/>
  <c r="B506" i="10"/>
  <c r="B1000" i="10"/>
  <c r="C663" i="10"/>
  <c r="C1360" i="10"/>
  <c r="B977" i="10"/>
  <c r="B687" i="10"/>
  <c r="B623" i="10"/>
  <c r="C844" i="10"/>
  <c r="B731" i="10"/>
  <c r="C632" i="10"/>
  <c r="C1082" i="10"/>
  <c r="B900" i="10"/>
  <c r="B764" i="10"/>
  <c r="C1165" i="10"/>
  <c r="C799" i="10"/>
  <c r="C572" i="10"/>
  <c r="C464" i="10"/>
  <c r="C1074" i="10"/>
  <c r="C598" i="10"/>
  <c r="B525" i="10"/>
  <c r="C707" i="10"/>
  <c r="C516" i="10"/>
  <c r="C397" i="10"/>
  <c r="B678" i="10"/>
  <c r="B485" i="10"/>
  <c r="B421" i="10"/>
  <c r="B357" i="10"/>
  <c r="B833" i="10"/>
  <c r="C651" i="10"/>
  <c r="C470" i="10"/>
  <c r="C712" i="10"/>
  <c r="B511" i="10"/>
  <c r="C744" i="10"/>
  <c r="B616" i="10"/>
  <c r="C467" i="10"/>
  <c r="B550" i="10"/>
  <c r="B430" i="10"/>
  <c r="B323" i="10"/>
  <c r="C1291" i="10"/>
  <c r="B620" i="10"/>
  <c r="B467" i="10"/>
  <c r="C366" i="10"/>
  <c r="B1053" i="10"/>
  <c r="C481" i="10"/>
  <c r="B532" i="10"/>
  <c r="C293" i="10"/>
  <c r="C819" i="10"/>
  <c r="B1429" i="10"/>
  <c r="C294" i="10"/>
  <c r="C691" i="10"/>
  <c r="C497" i="10"/>
  <c r="B361" i="10"/>
  <c r="B294" i="10"/>
  <c r="C218" i="10"/>
  <c r="C303" i="10"/>
  <c r="C798" i="10"/>
  <c r="B470" i="10"/>
  <c r="B593" i="10"/>
  <c r="B359" i="10"/>
  <c r="B229" i="10"/>
  <c r="C726" i="10"/>
  <c r="B382" i="10"/>
  <c r="C859" i="10"/>
  <c r="C476" i="10"/>
  <c r="C300" i="10"/>
  <c r="B202" i="10"/>
  <c r="C622" i="10"/>
  <c r="B179" i="10"/>
  <c r="C354" i="10"/>
  <c r="B161" i="10"/>
  <c r="C242" i="10"/>
  <c r="C131" i="10"/>
  <c r="B395" i="10"/>
  <c r="C192" i="10"/>
  <c r="C737" i="10"/>
  <c r="C234" i="10"/>
  <c r="C290" i="10"/>
  <c r="C97" i="10"/>
  <c r="B156" i="10"/>
  <c r="C1217" i="10"/>
  <c r="C187" i="10"/>
  <c r="C99" i="10"/>
  <c r="B76" i="10"/>
  <c r="C70" i="10"/>
  <c r="B235" i="10"/>
  <c r="C90" i="10"/>
  <c r="B234" i="10"/>
  <c r="C48" i="10"/>
  <c r="C32" i="10"/>
  <c r="C1481" i="10"/>
  <c r="C1353" i="10"/>
  <c r="C1406" i="10"/>
  <c r="C1379" i="10"/>
  <c r="C1442" i="10"/>
  <c r="C1194" i="10"/>
  <c r="C1408" i="10"/>
  <c r="B1290" i="10"/>
  <c r="B1226" i="10"/>
  <c r="B1162" i="10"/>
  <c r="B1388" i="10"/>
  <c r="C1279" i="10"/>
  <c r="C1455" i="10"/>
  <c r="C1327" i="10"/>
  <c r="B1423" i="10"/>
  <c r="C1305" i="10"/>
  <c r="C1463" i="10"/>
  <c r="C1335" i="10"/>
  <c r="C1348" i="10"/>
  <c r="B1216" i="10"/>
  <c r="C1083" i="10"/>
  <c r="C1352" i="10"/>
  <c r="C1175" i="10"/>
  <c r="B1107" i="10"/>
  <c r="C1152" i="10"/>
  <c r="C1432" i="10"/>
  <c r="B1264" i="10"/>
  <c r="B1379" i="10"/>
  <c r="B1383" i="10"/>
  <c r="C1164" i="10"/>
  <c r="B1045" i="10"/>
  <c r="C922" i="10"/>
  <c r="B1042" i="10"/>
  <c r="B978" i="10"/>
  <c r="B914" i="10"/>
  <c r="B1253" i="10"/>
  <c r="C1062" i="10"/>
  <c r="C951" i="10"/>
  <c r="B1437" i="10"/>
  <c r="B1190" i="10"/>
  <c r="B1039" i="10"/>
  <c r="B975" i="10"/>
  <c r="B911" i="10"/>
  <c r="B847" i="10"/>
  <c r="B1165" i="10"/>
  <c r="C968" i="10"/>
  <c r="C1116" i="10"/>
  <c r="C1389" i="10"/>
  <c r="B1161" i="10"/>
  <c r="C1005" i="10"/>
  <c r="C1047" i="10"/>
  <c r="C1137" i="10"/>
  <c r="B958" i="10"/>
  <c r="C765" i="10"/>
  <c r="C1325" i="10"/>
  <c r="C1101" i="10"/>
  <c r="C837" i="10"/>
  <c r="B773" i="10"/>
  <c r="B968" i="10"/>
  <c r="B860" i="10"/>
  <c r="C754" i="10"/>
  <c r="C1149" i="10"/>
  <c r="C974" i="10"/>
  <c r="B1397" i="10"/>
  <c r="C982" i="10"/>
  <c r="B787" i="10"/>
  <c r="B710" i="10"/>
  <c r="C602" i="10"/>
  <c r="B1288" i="10"/>
  <c r="C977" i="10"/>
  <c r="C655" i="10"/>
  <c r="C1292" i="10"/>
  <c r="B972" i="10"/>
  <c r="C1244" i="10"/>
  <c r="C1001" i="10"/>
  <c r="C836" i="10"/>
  <c r="C728" i="10"/>
  <c r="C624" i="10"/>
  <c r="C1077" i="10"/>
  <c r="C885" i="10"/>
  <c r="B722" i="10"/>
  <c r="B648" i="10"/>
  <c r="B1138" i="10"/>
  <c r="B885" i="10"/>
  <c r="C1133" i="10"/>
  <c r="C569" i="10"/>
  <c r="C456" i="10"/>
  <c r="B1038" i="10"/>
  <c r="B595" i="10"/>
  <c r="B456" i="10"/>
  <c r="B392" i="10"/>
  <c r="B856" i="10"/>
  <c r="C513" i="10"/>
  <c r="C389" i="10"/>
  <c r="C808" i="10"/>
  <c r="B606" i="10"/>
  <c r="C462" i="10"/>
  <c r="C1022" i="10"/>
  <c r="C740" i="10"/>
  <c r="C612" i="10"/>
  <c r="C459" i="10"/>
  <c r="B735" i="10"/>
  <c r="B541" i="10"/>
  <c r="C426" i="10"/>
  <c r="C1196" i="10"/>
  <c r="B611" i="10"/>
  <c r="B460" i="10"/>
  <c r="B662" i="10"/>
  <c r="B344" i="10"/>
  <c r="B280" i="10"/>
  <c r="B750" i="10"/>
  <c r="C285" i="10"/>
  <c r="B807" i="10"/>
  <c r="C417" i="10"/>
  <c r="B329" i="10"/>
  <c r="B486" i="10"/>
  <c r="B387" i="10"/>
  <c r="C286" i="10"/>
  <c r="B681" i="10"/>
  <c r="C489" i="10"/>
  <c r="B654" i="10"/>
  <c r="B333" i="10"/>
  <c r="B558" i="10"/>
  <c r="C299" i="10"/>
  <c r="C759" i="10"/>
  <c r="B303" i="10"/>
  <c r="B212" i="10"/>
  <c r="B224" i="10"/>
  <c r="B670" i="10"/>
  <c r="B388" i="10"/>
  <c r="B261" i="10"/>
  <c r="B714" i="10"/>
  <c r="C365" i="10"/>
  <c r="C761" i="10"/>
  <c r="C466" i="10"/>
  <c r="C289" i="10"/>
  <c r="C997" i="10"/>
  <c r="B372" i="10"/>
  <c r="C179" i="10"/>
  <c r="C596" i="10"/>
  <c r="B596" i="10"/>
  <c r="B236" i="10"/>
  <c r="B324" i="10"/>
  <c r="C458" i="10"/>
  <c r="C225" i="10"/>
  <c r="B130" i="10"/>
  <c r="C356" i="10"/>
  <c r="C190" i="10"/>
  <c r="B703" i="10"/>
  <c r="B214" i="10"/>
  <c r="C133" i="10"/>
  <c r="B269" i="10"/>
  <c r="C311" i="10"/>
  <c r="B142" i="10"/>
  <c r="C1130" i="10"/>
  <c r="C68" i="10"/>
  <c r="B171" i="10"/>
  <c r="B1365" i="10"/>
  <c r="C63" i="10"/>
  <c r="C60" i="10"/>
  <c r="B94" i="10"/>
  <c r="C47" i="10"/>
  <c r="C31" i="10"/>
  <c r="B11" i="10"/>
  <c r="B166" i="10"/>
  <c r="B58" i="10"/>
  <c r="C1473" i="10"/>
  <c r="C1345" i="10"/>
  <c r="B1449" i="10"/>
  <c r="B1385" i="10"/>
  <c r="B1321" i="10"/>
  <c r="C1398" i="10"/>
  <c r="B1486" i="10"/>
  <c r="B1422" i="10"/>
  <c r="B1358" i="10"/>
  <c r="B1294" i="10"/>
  <c r="C1371" i="10"/>
  <c r="B1439" i="10"/>
  <c r="C1186" i="10"/>
  <c r="C1388" i="10"/>
  <c r="C1271" i="10"/>
  <c r="C1448" i="10"/>
  <c r="C1320" i="10"/>
  <c r="B1247" i="10"/>
  <c r="B1183" i="10"/>
  <c r="B1416" i="10"/>
  <c r="C1299" i="10"/>
  <c r="C1456" i="10"/>
  <c r="C1328" i="10"/>
  <c r="C1219" i="10"/>
  <c r="B1118" i="10"/>
  <c r="B1054" i="10"/>
  <c r="C1075" i="10"/>
  <c r="C1343" i="10"/>
  <c r="C1172" i="10"/>
  <c r="B1403" i="10"/>
  <c r="C1144" i="10"/>
  <c r="C1260" i="10"/>
  <c r="C1373" i="10"/>
  <c r="C1157" i="10"/>
  <c r="C1042" i="10"/>
  <c r="C914" i="10"/>
  <c r="C1230" i="10"/>
  <c r="B1059" i="10"/>
  <c r="C943" i="10"/>
  <c r="C1404" i="10"/>
  <c r="C1179" i="10"/>
  <c r="C1081" i="10"/>
  <c r="C960" i="10"/>
  <c r="B1113" i="10"/>
  <c r="B1032" i="10"/>
  <c r="C1154" i="10"/>
  <c r="C1090" i="10"/>
  <c r="B824" i="10"/>
  <c r="B760" i="10"/>
  <c r="B1467" i="10"/>
  <c r="C1124" i="10"/>
  <c r="C941" i="10"/>
  <c r="C757" i="10"/>
  <c r="C1284" i="10"/>
  <c r="C1114" i="10"/>
  <c r="C964" i="10"/>
  <c r="C746" i="10"/>
  <c r="B971" i="10"/>
  <c r="B826" i="10"/>
  <c r="B762" i="10"/>
  <c r="B1090" i="10"/>
  <c r="B822" i="10"/>
  <c r="B1048" i="10"/>
  <c r="B1328" i="10"/>
  <c r="B973" i="10"/>
  <c r="C783" i="10"/>
  <c r="B707" i="10"/>
  <c r="C594" i="10"/>
  <c r="C1275" i="10"/>
  <c r="C835" i="10"/>
  <c r="B690" i="10"/>
  <c r="B626" i="10"/>
  <c r="B562" i="10"/>
  <c r="C963" i="10"/>
  <c r="B793" i="10"/>
  <c r="C647" i="10"/>
  <c r="C1241" i="10"/>
  <c r="B963" i="10"/>
  <c r="C803" i="10"/>
  <c r="B679" i="10"/>
  <c r="B615" i="10"/>
  <c r="B1232" i="10"/>
  <c r="B725" i="10"/>
  <c r="C616" i="10"/>
  <c r="C874" i="10"/>
  <c r="C719" i="10"/>
  <c r="B1127" i="10"/>
  <c r="B874" i="10"/>
  <c r="C1038" i="10"/>
  <c r="B791" i="10"/>
  <c r="B566" i="10"/>
  <c r="C448" i="10"/>
  <c r="B732" i="10"/>
  <c r="B588" i="10"/>
  <c r="B519" i="10"/>
  <c r="C692" i="10"/>
  <c r="C510" i="10"/>
  <c r="C381" i="10"/>
  <c r="B803" i="10"/>
  <c r="B548" i="10"/>
  <c r="B477" i="10"/>
  <c r="B413" i="10"/>
  <c r="B823" i="10"/>
  <c r="C589" i="10"/>
  <c r="C454" i="10"/>
  <c r="B940" i="10"/>
  <c r="C729" i="10"/>
  <c r="C609" i="10"/>
  <c r="C1488" i="10"/>
  <c r="C667" i="10"/>
  <c r="B529" i="10"/>
  <c r="C423" i="10"/>
  <c r="B315" i="10"/>
  <c r="B1181" i="10"/>
  <c r="B443" i="10"/>
  <c r="B355" i="10"/>
  <c r="C987" i="10"/>
  <c r="B436" i="10"/>
  <c r="C714" i="10"/>
  <c r="C512" i="10"/>
  <c r="B383" i="10"/>
  <c r="C277" i="10"/>
  <c r="B414" i="10"/>
  <c r="B482" i="10"/>
  <c r="B384" i="10"/>
  <c r="C278" i="10"/>
  <c r="B676" i="10"/>
  <c r="B350" i="10"/>
  <c r="B286" i="10"/>
  <c r="B322" i="10"/>
  <c r="B211" i="10"/>
  <c r="B553" i="10"/>
  <c r="C284" i="10"/>
  <c r="B718" i="10"/>
  <c r="C515" i="10"/>
  <c r="C340" i="10"/>
  <c r="C219" i="10"/>
  <c r="B239" i="10"/>
  <c r="C702" i="10"/>
  <c r="C270" i="10"/>
  <c r="C495" i="10"/>
  <c r="C368" i="10"/>
  <c r="B260" i="10"/>
  <c r="B194" i="10"/>
  <c r="C376" i="10"/>
  <c r="B172" i="10"/>
  <c r="C571" i="10"/>
  <c r="C170" i="10"/>
  <c r="B576" i="10"/>
  <c r="B220" i="10"/>
  <c r="C937" i="10"/>
  <c r="B298" i="10"/>
  <c r="B152" i="10"/>
  <c r="B452" i="10"/>
  <c r="C223" i="10"/>
  <c r="B1149" i="10"/>
  <c r="B351" i="10"/>
  <c r="B183" i="10"/>
  <c r="B697" i="10"/>
  <c r="C208" i="10"/>
  <c r="C1409" i="10"/>
  <c r="B1481" i="10"/>
  <c r="B1417" i="10"/>
  <c r="B1353" i="10"/>
  <c r="C1462" i="10"/>
  <c r="C1334" i="10"/>
  <c r="B1454" i="10"/>
  <c r="B1390" i="10"/>
  <c r="B1326" i="10"/>
  <c r="C1435" i="10"/>
  <c r="C1307" i="10"/>
  <c r="C1378" i="10"/>
  <c r="C1250" i="10"/>
  <c r="C1452" i="10"/>
  <c r="C1324" i="10"/>
  <c r="B1445" i="10"/>
  <c r="B1324" i="10"/>
  <c r="C1207" i="10"/>
  <c r="C1384" i="10"/>
  <c r="B1279" i="10"/>
  <c r="B1215" i="10"/>
  <c r="B1359" i="10"/>
  <c r="C1232" i="10"/>
  <c r="C1392" i="10"/>
  <c r="B1464" i="10"/>
  <c r="B1150" i="10"/>
  <c r="B1086" i="10"/>
  <c r="B1431" i="10"/>
  <c r="C1139" i="10"/>
  <c r="C1252" i="10"/>
  <c r="B1269" i="10"/>
  <c r="C1181" i="10"/>
  <c r="C1080" i="10"/>
  <c r="C1319" i="10"/>
  <c r="C1469" i="10"/>
  <c r="B1267" i="10"/>
  <c r="B1400" i="10"/>
  <c r="C1233" i="10"/>
  <c r="B1093" i="10"/>
  <c r="C978" i="10"/>
  <c r="C1160" i="10"/>
  <c r="C1007" i="10"/>
  <c r="C879" i="10"/>
  <c r="C1238" i="10"/>
  <c r="C1102" i="10"/>
  <c r="C1278" i="10"/>
  <c r="C1024" i="10"/>
  <c r="B1384" i="10"/>
  <c r="B1145" i="10"/>
  <c r="B1081" i="10"/>
  <c r="B1491" i="10"/>
  <c r="C1122" i="10"/>
  <c r="B1051" i="10"/>
  <c r="B1146" i="10"/>
  <c r="C881" i="10"/>
  <c r="B792" i="10"/>
  <c r="B728" i="10"/>
  <c r="C1214" i="10"/>
  <c r="C1017" i="10"/>
  <c r="C821" i="10"/>
  <c r="B1485" i="10"/>
  <c r="C1193" i="10"/>
  <c r="C905" i="10"/>
  <c r="B1020" i="10"/>
  <c r="C810" i="10"/>
  <c r="B1262" i="10"/>
  <c r="B1050" i="10"/>
  <c r="C889" i="10"/>
  <c r="B794" i="10"/>
  <c r="B1022" i="10"/>
  <c r="C873" i="10"/>
  <c r="C1125" i="10"/>
  <c r="C979" i="10"/>
  <c r="B742" i="10"/>
  <c r="C658" i="10"/>
  <c r="C530" i="10"/>
  <c r="C1092" i="10"/>
  <c r="B888" i="10"/>
  <c r="B658" i="10"/>
  <c r="B594" i="10"/>
  <c r="B530" i="10"/>
  <c r="C861" i="10"/>
  <c r="C583" i="10"/>
  <c r="C868" i="10"/>
  <c r="C718" i="10"/>
  <c r="B647" i="10"/>
  <c r="B583" i="10"/>
  <c r="C900" i="10"/>
  <c r="C767" i="10"/>
  <c r="C680" i="10"/>
  <c r="B947" i="10"/>
  <c r="C811" i="10"/>
  <c r="B804" i="10"/>
  <c r="B1360" i="10"/>
  <c r="C901" i="10"/>
  <c r="C605" i="10"/>
  <c r="C519" i="10"/>
  <c r="B799" i="10"/>
  <c r="B551" i="10"/>
  <c r="B984" i="10"/>
  <c r="C743" i="10"/>
  <c r="C628" i="10"/>
  <c r="C445" i="10"/>
  <c r="B966" i="10"/>
  <c r="B711" i="10"/>
  <c r="B625" i="10"/>
  <c r="B510" i="10"/>
  <c r="B445" i="10"/>
  <c r="B381" i="10"/>
  <c r="B974" i="10"/>
  <c r="C756" i="10"/>
  <c r="C517" i="10"/>
  <c r="C1220" i="10"/>
  <c r="B779" i="10"/>
  <c r="C842" i="10"/>
  <c r="C654" i="10"/>
  <c r="C508" i="10"/>
  <c r="C590" i="10"/>
  <c r="B471" i="10"/>
  <c r="B347" i="10"/>
  <c r="B283" i="10"/>
  <c r="B508" i="10"/>
  <c r="C296" i="10"/>
  <c r="C745" i="10"/>
  <c r="C532" i="10"/>
  <c r="C380" i="10"/>
  <c r="C341" i="10"/>
  <c r="C482" i="10"/>
  <c r="C864" i="10"/>
  <c r="B417" i="10"/>
  <c r="C342" i="10"/>
  <c r="B318" i="10"/>
  <c r="B263" i="10"/>
  <c r="B393" i="10"/>
  <c r="C593" i="10"/>
  <c r="C359" i="10"/>
  <c r="B434" i="10"/>
  <c r="C253" i="10"/>
  <c r="C791" i="10"/>
  <c r="B515" i="10"/>
  <c r="B306" i="10"/>
  <c r="C564" i="10"/>
  <c r="B222" i="10"/>
  <c r="C452" i="10"/>
  <c r="B300" i="10"/>
  <c r="C228" i="10"/>
  <c r="B723" i="10"/>
  <c r="C241" i="10"/>
  <c r="B1019" i="10"/>
  <c r="C339" i="10"/>
  <c r="C148" i="10"/>
  <c r="C439" i="10"/>
  <c r="B691" i="10"/>
  <c r="C331" i="10"/>
  <c r="C183" i="10"/>
  <c r="B501" i="10"/>
  <c r="B232" i="10"/>
  <c r="B435" i="10"/>
  <c r="C165" i="10"/>
  <c r="B415" i="10"/>
  <c r="B143" i="10"/>
  <c r="B738" i="10"/>
  <c r="B91" i="10"/>
  <c r="C281" i="10"/>
  <c r="B105" i="10"/>
  <c r="C127" i="10"/>
  <c r="C248" i="10"/>
  <c r="C111" i="10"/>
  <c r="B117" i="10"/>
  <c r="B64" i="10"/>
  <c r="B228" i="10"/>
  <c r="C580" i="10"/>
  <c r="C54" i="10"/>
  <c r="C38" i="10"/>
  <c r="C22" i="10"/>
  <c r="B449" i="10"/>
  <c r="C98" i="10"/>
  <c r="B49" i="10"/>
  <c r="B33" i="10"/>
  <c r="B17" i="10"/>
  <c r="C1401" i="10"/>
  <c r="C1454" i="10"/>
  <c r="C1326" i="10"/>
  <c r="C1427" i="10"/>
  <c r="B1375" i="10"/>
  <c r="C1242" i="10"/>
  <c r="C1445" i="10"/>
  <c r="C1317" i="10"/>
  <c r="B1250" i="10"/>
  <c r="B1186" i="10"/>
  <c r="C1492" i="10"/>
  <c r="C1364" i="10"/>
  <c r="B1460" i="10"/>
  <c r="B1352" i="10"/>
  <c r="C1224" i="10"/>
  <c r="C1372" i="10"/>
  <c r="C1460" i="10"/>
  <c r="C1283" i="10"/>
  <c r="C1131" i="10"/>
  <c r="C1249" i="10"/>
  <c r="B1131" i="10"/>
  <c r="B1459" i="10"/>
  <c r="C1262" i="10"/>
  <c r="B1492" i="10"/>
  <c r="C1311" i="10"/>
  <c r="B1427" i="10"/>
  <c r="B1260" i="10"/>
  <c r="C1396" i="10"/>
  <c r="C1213" i="10"/>
  <c r="B1214" i="10"/>
  <c r="B1080" i="10"/>
  <c r="C970" i="10"/>
  <c r="B1363" i="10"/>
  <c r="B1157" i="10"/>
  <c r="B1002" i="10"/>
  <c r="B938" i="10"/>
  <c r="C1368" i="10"/>
  <c r="C999" i="10"/>
  <c r="C871" i="10"/>
  <c r="C1221" i="10"/>
  <c r="B999" i="10"/>
  <c r="B935" i="10"/>
  <c r="B871" i="10"/>
  <c r="C1016" i="10"/>
  <c r="B1063" i="10"/>
  <c r="B1119" i="10"/>
  <c r="C1048" i="10"/>
  <c r="C1142" i="10"/>
  <c r="B965" i="10"/>
  <c r="C878" i="10"/>
  <c r="B1189" i="10"/>
  <c r="B1013" i="10"/>
  <c r="B902" i="10"/>
  <c r="C813" i="10"/>
  <c r="B1461" i="10"/>
  <c r="C1174" i="10"/>
  <c r="C998" i="10"/>
  <c r="C892" i="10"/>
  <c r="B797" i="10"/>
  <c r="B1224" i="10"/>
  <c r="C1009" i="10"/>
  <c r="C802" i="10"/>
  <c r="B1251" i="10"/>
  <c r="C1035" i="10"/>
  <c r="C886" i="10"/>
  <c r="C870" i="10"/>
  <c r="B976" i="10"/>
  <c r="C828" i="10"/>
  <c r="B739" i="10"/>
  <c r="C650" i="10"/>
  <c r="C522" i="10"/>
  <c r="C1076" i="10"/>
  <c r="C884" i="10"/>
  <c r="C760" i="10"/>
  <c r="B1092" i="10"/>
  <c r="C850" i="10"/>
  <c r="C575" i="10"/>
  <c r="B861" i="10"/>
  <c r="C715" i="10"/>
  <c r="B1067" i="10"/>
  <c r="C764" i="10"/>
  <c r="C672" i="10"/>
  <c r="C1316" i="10"/>
  <c r="C933" i="10"/>
  <c r="C804" i="10"/>
  <c r="B672" i="10"/>
  <c r="B1338" i="10"/>
  <c r="B882" i="10"/>
  <c r="C499" i="10"/>
  <c r="C1471" i="10"/>
  <c r="C795" i="10"/>
  <c r="B480" i="10"/>
  <c r="B416" i="10"/>
  <c r="C966" i="10"/>
  <c r="C739" i="10"/>
  <c r="C625" i="10"/>
  <c r="C437" i="10"/>
  <c r="C703" i="10"/>
  <c r="C913" i="10"/>
  <c r="B737" i="10"/>
  <c r="C511" i="10"/>
  <c r="B1180" i="10"/>
  <c r="B769" i="10"/>
  <c r="C1153" i="10"/>
  <c r="B809" i="10"/>
  <c r="C636" i="10"/>
  <c r="C505" i="10"/>
  <c r="C882" i="10"/>
  <c r="B709" i="10"/>
  <c r="B500" i="10"/>
  <c r="C288" i="10"/>
  <c r="B521" i="10"/>
  <c r="C377" i="10"/>
  <c r="B304" i="10"/>
  <c r="C910" i="10"/>
  <c r="B419" i="10"/>
  <c r="C333" i="10"/>
  <c r="B859" i="10"/>
  <c r="C621" i="10"/>
  <c r="B479" i="10"/>
  <c r="B353" i="10"/>
  <c r="B289" i="10"/>
  <c r="B853" i="10"/>
  <c r="B533" i="10"/>
  <c r="B410" i="10"/>
  <c r="C334" i="10"/>
  <c r="C393" i="10"/>
  <c r="B385" i="10"/>
  <c r="C371" i="10"/>
  <c r="B218" i="10"/>
  <c r="B348" i="10"/>
  <c r="C237" i="10"/>
  <c r="C705" i="10"/>
  <c r="B250" i="10"/>
  <c r="B785" i="10"/>
  <c r="B503" i="10"/>
  <c r="C444" i="10"/>
  <c r="B285" i="10"/>
  <c r="B193" i="10"/>
  <c r="C559" i="10"/>
  <c r="B360" i="10"/>
  <c r="C217" i="10"/>
  <c r="C604" i="10"/>
  <c r="C435" i="10"/>
  <c r="B636" i="10"/>
  <c r="C227" i="10"/>
  <c r="C909" i="10"/>
  <c r="B264" i="10"/>
  <c r="B135" i="10"/>
  <c r="C324" i="10"/>
  <c r="C144" i="10"/>
  <c r="B197" i="10"/>
  <c r="B624" i="10"/>
  <c r="C321" i="10"/>
  <c r="B176" i="10"/>
  <c r="B483" i="10"/>
  <c r="B225" i="10"/>
  <c r="C1393" i="10"/>
  <c r="B1473" i="10"/>
  <c r="B1409" i="10"/>
  <c r="B1345" i="10"/>
  <c r="C1446" i="10"/>
  <c r="C1318" i="10"/>
  <c r="B1446" i="10"/>
  <c r="B1382" i="10"/>
  <c r="B1318" i="10"/>
  <c r="C1419" i="10"/>
  <c r="B1476" i="10"/>
  <c r="B1368" i="10"/>
  <c r="C1234" i="10"/>
  <c r="B1442" i="10"/>
  <c r="B1314" i="10"/>
  <c r="B1317" i="10"/>
  <c r="C1485" i="10"/>
  <c r="C1357" i="10"/>
  <c r="B1271" i="10"/>
  <c r="B1207" i="10"/>
  <c r="C1493" i="10"/>
  <c r="C1365" i="10"/>
  <c r="C1447" i="10"/>
  <c r="B1280" i="10"/>
  <c r="B1142" i="10"/>
  <c r="B1078" i="10"/>
  <c r="B1395" i="10"/>
  <c r="C1123" i="10"/>
  <c r="B1421" i="10"/>
  <c r="B1222" i="10"/>
  <c r="C1450" i="10"/>
  <c r="B1259" i="10"/>
  <c r="B1172" i="10"/>
  <c r="C1474" i="10"/>
  <c r="B1303" i="10"/>
  <c r="C1423" i="10"/>
  <c r="B1257" i="10"/>
  <c r="C1383" i="10"/>
  <c r="B1463" i="10"/>
  <c r="C1205" i="10"/>
  <c r="B1077" i="10"/>
  <c r="C962" i="10"/>
  <c r="B1309" i="10"/>
  <c r="B1071" i="10"/>
  <c r="C991" i="10"/>
  <c r="C863" i="10"/>
  <c r="C1086" i="10"/>
  <c r="B1245" i="10"/>
  <c r="C1113" i="10"/>
  <c r="C1008" i="10"/>
  <c r="C1135" i="10"/>
  <c r="C1060" i="10"/>
  <c r="C1195" i="10"/>
  <c r="B1116" i="10"/>
  <c r="C958" i="10"/>
  <c r="C875" i="10"/>
  <c r="B784" i="10"/>
  <c r="B720" i="10"/>
  <c r="B1184" i="10"/>
  <c r="B899" i="10"/>
  <c r="C805" i="10"/>
  <c r="B1159" i="10"/>
  <c r="B995" i="10"/>
  <c r="C872" i="10"/>
  <c r="B1208" i="10"/>
  <c r="B1005" i="10"/>
  <c r="C794" i="10"/>
  <c r="C1228" i="10"/>
  <c r="C883" i="10"/>
  <c r="B786" i="10"/>
  <c r="C867" i="10"/>
  <c r="B1407" i="10"/>
  <c r="C1098" i="10"/>
  <c r="C972" i="10"/>
  <c r="C736" i="10"/>
  <c r="C642" i="10"/>
  <c r="C514" i="10"/>
  <c r="C1066" i="10"/>
  <c r="B877" i="10"/>
  <c r="B730" i="10"/>
  <c r="B650" i="10"/>
  <c r="B586" i="10"/>
  <c r="B522" i="10"/>
  <c r="B1049" i="10"/>
  <c r="B835" i="10"/>
  <c r="C695" i="10"/>
  <c r="C1484" i="10"/>
  <c r="C1019" i="10"/>
  <c r="B857" i="10"/>
  <c r="B639" i="10"/>
  <c r="B575" i="10"/>
  <c r="B1036" i="10"/>
  <c r="B761" i="10"/>
  <c r="C664" i="10"/>
  <c r="C929" i="10"/>
  <c r="C784" i="10"/>
  <c r="C1322" i="10"/>
  <c r="B933" i="10"/>
  <c r="B1323" i="10"/>
  <c r="C595" i="10"/>
  <c r="C782" i="10"/>
  <c r="C955" i="10"/>
  <c r="B598" i="10"/>
  <c r="C429" i="10"/>
  <c r="B437" i="10"/>
  <c r="B373" i="10"/>
  <c r="B726" i="10"/>
  <c r="B497" i="10"/>
  <c r="B756" i="10"/>
  <c r="B523" i="10"/>
  <c r="C1140" i="10"/>
  <c r="C633" i="10"/>
  <c r="C502" i="10"/>
  <c r="B876" i="10"/>
  <c r="C577" i="10"/>
  <c r="C460" i="10"/>
  <c r="B339" i="10"/>
  <c r="B275" i="10"/>
  <c r="C684" i="10"/>
  <c r="C492" i="10"/>
  <c r="B386" i="10"/>
  <c r="C280" i="10"/>
  <c r="B366" i="10"/>
  <c r="C412" i="10"/>
  <c r="C325" i="10"/>
  <c r="C853" i="10"/>
  <c r="B617" i="10"/>
  <c r="C830" i="10"/>
  <c r="B526" i="10"/>
  <c r="B407" i="10"/>
  <c r="C326" i="10"/>
  <c r="B537" i="10"/>
  <c r="C390" i="10"/>
  <c r="B310" i="10"/>
  <c r="C858" i="10"/>
  <c r="B376" i="10"/>
  <c r="B255" i="10"/>
  <c r="B614" i="10"/>
  <c r="C212" i="10"/>
  <c r="C233" i="10"/>
  <c r="C670" i="10"/>
  <c r="C247" i="10"/>
  <c r="B765" i="10"/>
  <c r="B465" i="10"/>
  <c r="B295" i="10"/>
  <c r="B820" i="10"/>
  <c r="C353" i="10"/>
  <c r="C210" i="10"/>
  <c r="B217" i="10"/>
  <c r="C820" i="10"/>
  <c r="B241" i="10"/>
  <c r="C298" i="10"/>
  <c r="C140" i="10"/>
  <c r="C428" i="10"/>
  <c r="C184" i="10"/>
  <c r="B604" i="10"/>
  <c r="B316" i="10"/>
  <c r="B458" i="10"/>
  <c r="C214" i="10"/>
  <c r="B1377" i="10"/>
  <c r="C1470" i="10"/>
  <c r="B1462" i="10"/>
  <c r="C1459" i="10"/>
  <c r="C1258" i="10"/>
  <c r="B1287" i="10"/>
  <c r="B1389" i="10"/>
  <c r="B1203" i="10"/>
  <c r="B1212" i="10"/>
  <c r="C1088" i="10"/>
  <c r="C1167" i="10"/>
  <c r="B1270" i="10"/>
  <c r="B1198" i="10"/>
  <c r="C994" i="10"/>
  <c r="C1187" i="10"/>
  <c r="C1201" i="10"/>
  <c r="C1015" i="10"/>
  <c r="B1248" i="10"/>
  <c r="B959" i="10"/>
  <c r="B1236" i="10"/>
  <c r="B1069" i="10"/>
  <c r="C1103" i="10"/>
  <c r="B1148" i="10"/>
  <c r="C1037" i="10"/>
  <c r="B1006" i="10"/>
  <c r="C849" i="10"/>
  <c r="B744" i="10"/>
  <c r="B915" i="10"/>
  <c r="C733" i="10"/>
  <c r="B941" i="10"/>
  <c r="B1391" i="10"/>
  <c r="C1012" i="10"/>
  <c r="B802" i="10"/>
  <c r="C1121" i="10"/>
  <c r="C682" i="10"/>
  <c r="C1177" i="10"/>
  <c r="B865" i="10"/>
  <c r="B602" i="10"/>
  <c r="B884" i="10"/>
  <c r="C687" i="10"/>
  <c r="C769" i="10"/>
  <c r="B1196" i="10"/>
  <c r="C916" i="10"/>
  <c r="B1143" i="10"/>
  <c r="C825" i="10"/>
  <c r="B777" i="10"/>
  <c r="B1027" i="10"/>
  <c r="B622" i="10"/>
  <c r="C408" i="10"/>
  <c r="B585" i="10"/>
  <c r="B795" i="10"/>
  <c r="C646" i="10"/>
  <c r="B989" i="10"/>
  <c r="B545" i="10"/>
  <c r="B796" i="10"/>
  <c r="C430" i="10"/>
  <c r="B897" i="10"/>
  <c r="C582" i="10"/>
  <c r="B852" i="10"/>
  <c r="B812" i="10"/>
  <c r="C272" i="10"/>
  <c r="C383" i="10"/>
  <c r="C387" i="10"/>
  <c r="B468" i="10"/>
  <c r="C350" i="10"/>
  <c r="B278" i="10"/>
  <c r="B439" i="10"/>
  <c r="B694" i="10"/>
  <c r="B412" i="10"/>
  <c r="C479" i="10"/>
  <c r="C261" i="10"/>
  <c r="C547" i="10"/>
  <c r="C574" i="10"/>
  <c r="B677" i="10"/>
  <c r="B404" i="10"/>
  <c r="C806" i="10"/>
  <c r="B462" i="10"/>
  <c r="B997" i="10"/>
  <c r="C264" i="10"/>
  <c r="C411" i="10"/>
  <c r="B170" i="10"/>
  <c r="B1228" i="10"/>
  <c r="B274" i="10"/>
  <c r="C374" i="10"/>
  <c r="B213" i="10"/>
  <c r="B231" i="10"/>
  <c r="B81" i="10"/>
  <c r="B127" i="10"/>
  <c r="C109" i="10"/>
  <c r="C157" i="10"/>
  <c r="C57" i="10"/>
  <c r="C36" i="10"/>
  <c r="B601" i="10"/>
  <c r="C138" i="10"/>
  <c r="B52" i="10"/>
  <c r="B35" i="10"/>
  <c r="B18" i="10"/>
  <c r="B125" i="10"/>
  <c r="B259" i="10"/>
  <c r="C173" i="10"/>
  <c r="B226" i="10"/>
  <c r="C323" i="10"/>
  <c r="C584" i="10"/>
  <c r="B61" i="10"/>
  <c r="B121" i="10"/>
  <c r="B207" i="10"/>
  <c r="C85" i="10"/>
  <c r="C142" i="10"/>
  <c r="B124" i="10"/>
  <c r="B31" i="10"/>
  <c r="C154" i="10"/>
  <c r="B14" i="10"/>
  <c r="B175" i="10"/>
  <c r="C185" i="10"/>
  <c r="C169" i="10"/>
  <c r="B535" i="10"/>
  <c r="B1361" i="10"/>
  <c r="B1411" i="10"/>
  <c r="C1200" i="10"/>
  <c r="B1123" i="10"/>
  <c r="B1392" i="10"/>
  <c r="B1125" i="10"/>
  <c r="B898" i="10"/>
  <c r="B1132" i="10"/>
  <c r="C1014" i="10"/>
  <c r="C755" i="10"/>
  <c r="C1089" i="10"/>
  <c r="C1420" i="10"/>
  <c r="C443" i="10"/>
  <c r="C681" i="10"/>
  <c r="B633" i="10"/>
  <c r="C487" i="10"/>
  <c r="C630" i="10"/>
  <c r="B187" i="10"/>
  <c r="C52" i="10"/>
  <c r="B30" i="10"/>
  <c r="B185" i="10"/>
  <c r="C61" i="10"/>
  <c r="B1419" i="10"/>
  <c r="C1040" i="10"/>
  <c r="B1364" i="10"/>
  <c r="B1043" i="10"/>
  <c r="B929" i="10"/>
  <c r="B1275" i="10"/>
  <c r="B917" i="10"/>
  <c r="C1070" i="10"/>
  <c r="B536" i="10"/>
  <c r="C926" i="10"/>
  <c r="C163" i="10"/>
  <c r="B251" i="10"/>
  <c r="C51" i="10"/>
  <c r="B473" i="10"/>
  <c r="C137" i="10"/>
  <c r="C115" i="10"/>
  <c r="B1487" i="10"/>
  <c r="C1259" i="10"/>
  <c r="B1204" i="10"/>
  <c r="C570" i="10"/>
  <c r="B552" i="10"/>
  <c r="B291" i="10"/>
  <c r="B894" i="10"/>
  <c r="C266" i="10"/>
  <c r="C249" i="10"/>
  <c r="B425" i="10"/>
  <c r="B63" i="10"/>
  <c r="C235" i="10"/>
  <c r="B379" i="10"/>
  <c r="C27" i="10"/>
  <c r="B459" i="10"/>
  <c r="C180" i="10"/>
  <c r="C1465" i="10"/>
  <c r="C1438" i="10"/>
  <c r="C1451" i="10"/>
  <c r="B1412" i="10"/>
  <c r="C1226" i="10"/>
  <c r="C1351" i="10"/>
  <c r="B1242" i="10"/>
  <c r="C1354" i="10"/>
  <c r="C1428" i="10"/>
  <c r="C1477" i="10"/>
  <c r="C1216" i="10"/>
  <c r="B1094" i="10"/>
  <c r="B1200" i="10"/>
  <c r="C1330" i="10"/>
  <c r="B1139" i="10"/>
  <c r="B1209" i="10"/>
  <c r="B1156" i="10"/>
  <c r="C1253" i="10"/>
  <c r="B1144" i="10"/>
  <c r="C986" i="10"/>
  <c r="B1176" i="10"/>
  <c r="B994" i="10"/>
  <c r="B1187" i="10"/>
  <c r="C983" i="10"/>
  <c r="B1243" i="10"/>
  <c r="B1031" i="10"/>
  <c r="B879" i="10"/>
  <c r="B1066" i="10"/>
  <c r="B1300" i="10"/>
  <c r="C1100" i="10"/>
  <c r="B912" i="10"/>
  <c r="C725" i="10"/>
  <c r="C934" i="10"/>
  <c r="B789" i="10"/>
  <c r="B1101" i="10"/>
  <c r="B949" i="10"/>
  <c r="C1044" i="10"/>
  <c r="B1098" i="10"/>
  <c r="C674" i="10"/>
  <c r="B682" i="10"/>
  <c r="C639" i="10"/>
  <c r="B766" i="10"/>
  <c r="C1143" i="10"/>
  <c r="C777" i="10"/>
  <c r="B632" i="10"/>
  <c r="C400" i="10"/>
  <c r="B572" i="10"/>
  <c r="B488" i="10"/>
  <c r="B408" i="10"/>
  <c r="B782" i="10"/>
  <c r="C548" i="10"/>
  <c r="B542" i="10"/>
  <c r="B453" i="10"/>
  <c r="C792" i="10"/>
  <c r="C422" i="10"/>
  <c r="C579" i="10"/>
  <c r="B581" i="10"/>
  <c r="C363" i="10"/>
  <c r="C638" i="10"/>
  <c r="C1030" i="10"/>
  <c r="C384" i="10"/>
  <c r="B297" i="10"/>
  <c r="C318" i="10"/>
  <c r="C603" i="10"/>
  <c r="C375" i="10"/>
  <c r="B431" i="10"/>
  <c r="C465" i="10"/>
  <c r="C541" i="10"/>
  <c r="C544" i="10"/>
  <c r="B661" i="10"/>
  <c r="C394" i="10"/>
  <c r="B457" i="10"/>
  <c r="C990" i="10"/>
  <c r="C382" i="10"/>
  <c r="C816" i="10"/>
  <c r="B198" i="10"/>
  <c r="C181" i="10"/>
  <c r="C362" i="10"/>
  <c r="B83" i="10"/>
  <c r="C195" i="10"/>
  <c r="B254" i="10"/>
  <c r="C105" i="10"/>
  <c r="B1130" i="10"/>
  <c r="B215" i="10"/>
  <c r="C76" i="10"/>
  <c r="C107" i="10"/>
  <c r="B693" i="10"/>
  <c r="B96" i="10"/>
  <c r="C11" i="10"/>
  <c r="C149" i="10"/>
  <c r="C56" i="10"/>
  <c r="C35" i="10"/>
  <c r="C226" i="10"/>
  <c r="C124" i="10"/>
  <c r="B51" i="10"/>
  <c r="B34" i="10"/>
  <c r="B16" i="10"/>
  <c r="B115" i="10"/>
  <c r="C188" i="10"/>
  <c r="B60" i="10"/>
  <c r="C455" i="10"/>
  <c r="B455" i="10"/>
  <c r="B180" i="10"/>
  <c r="B74" i="10"/>
  <c r="C15" i="10"/>
  <c r="C30" i="10"/>
  <c r="C175" i="10"/>
  <c r="C255" i="10"/>
  <c r="C1441" i="10"/>
  <c r="C1374" i="10"/>
  <c r="B1342" i="10"/>
  <c r="B1426" i="10"/>
  <c r="B1293" i="10"/>
  <c r="B1330" i="10"/>
  <c r="B1240" i="10"/>
  <c r="C919" i="10"/>
  <c r="B863" i="10"/>
  <c r="C1087" i="10"/>
  <c r="C1295" i="10"/>
  <c r="C701" i="10"/>
  <c r="C921" i="10"/>
  <c r="C586" i="10"/>
  <c r="C1333" i="10"/>
  <c r="B721" i="10"/>
  <c r="C696" i="10"/>
  <c r="C1453" i="10"/>
  <c r="C560" i="10"/>
  <c r="B472" i="10"/>
  <c r="C485" i="10"/>
  <c r="B573" i="10"/>
  <c r="B590" i="10"/>
  <c r="C1297" i="10"/>
  <c r="B281" i="10"/>
  <c r="B195" i="10"/>
  <c r="B442" i="10"/>
  <c r="C771" i="10"/>
  <c r="C251" i="10"/>
  <c r="B71" i="10"/>
  <c r="C100" i="10"/>
  <c r="C103" i="10"/>
  <c r="C9" i="10"/>
  <c r="C123" i="10"/>
  <c r="B1112" i="10"/>
  <c r="C911" i="10"/>
  <c r="B1192" i="10"/>
  <c r="B808" i="10"/>
  <c r="C1424" i="10"/>
  <c r="B1003" i="10"/>
  <c r="B754" i="10"/>
  <c r="B666" i="10"/>
  <c r="C607" i="10"/>
  <c r="C1094" i="10"/>
  <c r="B1484" i="10"/>
  <c r="B555" i="10"/>
  <c r="C581" i="10"/>
  <c r="C533" i="10"/>
  <c r="B342" i="10"/>
  <c r="B603" i="10"/>
  <c r="B579" i="10"/>
  <c r="B249" i="10"/>
  <c r="B246" i="10"/>
  <c r="C151" i="10"/>
  <c r="C171" i="10"/>
  <c r="C28" i="10"/>
  <c r="C101" i="10"/>
  <c r="C239" i="10"/>
  <c r="C1425" i="10"/>
  <c r="C1358" i="10"/>
  <c r="B1334" i="10"/>
  <c r="C1304" i="10"/>
  <c r="B1283" i="10"/>
  <c r="C903" i="10"/>
  <c r="C1145" i="10"/>
  <c r="C1336" i="10"/>
  <c r="B688" i="10"/>
  <c r="B700" i="10"/>
  <c r="C747" i="10"/>
  <c r="C620" i="10"/>
  <c r="C1237" i="10"/>
  <c r="B163" i="10"/>
  <c r="B580" i="10"/>
  <c r="C1479" i="10"/>
  <c r="C1391" i="10"/>
  <c r="B1357" i="10"/>
  <c r="B1276" i="10"/>
  <c r="C1309" i="10"/>
  <c r="B1096" i="10"/>
  <c r="B962" i="10"/>
  <c r="C895" i="10"/>
  <c r="B1007" i="10"/>
  <c r="B1320" i="10"/>
  <c r="B800" i="10"/>
  <c r="C1457" i="10"/>
  <c r="B1369" i="10"/>
  <c r="C1390" i="10"/>
  <c r="B1350" i="10"/>
  <c r="C1443" i="10"/>
  <c r="C1178" i="10"/>
  <c r="C1344" i="10"/>
  <c r="B1351" i="10"/>
  <c r="C1421" i="10"/>
  <c r="B1175" i="10"/>
  <c r="C1436" i="10"/>
  <c r="C1206" i="10"/>
  <c r="B1474" i="10"/>
  <c r="B1141" i="10"/>
  <c r="C954" i="10"/>
  <c r="B1168" i="10"/>
  <c r="B906" i="10"/>
  <c r="C1183" i="10"/>
  <c r="C935" i="10"/>
  <c r="B951" i="10"/>
  <c r="C1063" i="10"/>
  <c r="B1097" i="10"/>
  <c r="C1138" i="10"/>
  <c r="B736" i="10"/>
  <c r="C717" i="10"/>
  <c r="C1079" i="10"/>
  <c r="B931" i="10"/>
  <c r="B1088" i="10"/>
  <c r="B1367" i="10"/>
  <c r="B964" i="10"/>
  <c r="C1085" i="10"/>
  <c r="C942" i="10"/>
  <c r="B1376" i="10"/>
  <c r="C1033" i="10"/>
  <c r="B780" i="10"/>
  <c r="C666" i="10"/>
  <c r="C1109" i="10"/>
  <c r="C1402" i="10"/>
  <c r="C631" i="10"/>
  <c r="B1014" i="10"/>
  <c r="B763" i="10"/>
  <c r="B1133" i="10"/>
  <c r="B702" i="10"/>
  <c r="C1045" i="10"/>
  <c r="C716" i="10"/>
  <c r="B990" i="10"/>
  <c r="B592" i="10"/>
  <c r="C392" i="10"/>
  <c r="B569" i="10"/>
  <c r="C772" i="10"/>
  <c r="B496" i="10"/>
  <c r="B660" i="10"/>
  <c r="B788" i="10"/>
  <c r="C414" i="10"/>
  <c r="B494" i="10"/>
  <c r="B867" i="10"/>
  <c r="C576" i="10"/>
  <c r="C474" i="10"/>
  <c r="B307" i="10"/>
  <c r="C973" i="10"/>
  <c r="B561" i="10"/>
  <c r="B272" i="10"/>
  <c r="B409" i="10"/>
  <c r="C925" i="10"/>
  <c r="C378" i="10"/>
  <c r="B1292" i="10"/>
  <c r="B582" i="10"/>
  <c r="C1261" i="10"/>
  <c r="B403" i="10"/>
  <c r="B203" i="10"/>
  <c r="B371" i="10"/>
  <c r="C213" i="10"/>
  <c r="B253" i="10"/>
  <c r="C527" i="10"/>
  <c r="B265" i="10"/>
  <c r="C644" i="10"/>
  <c r="B335" i="10"/>
  <c r="B571" i="10"/>
  <c r="C161" i="10"/>
  <c r="C267" i="10"/>
  <c r="C758" i="10"/>
  <c r="B262" i="10"/>
  <c r="C669" i="10"/>
  <c r="B174" i="10"/>
  <c r="C338" i="10"/>
  <c r="C78" i="10"/>
  <c r="C182" i="10"/>
  <c r="B245" i="10"/>
  <c r="B219" i="10"/>
  <c r="B208" i="10"/>
  <c r="C734" i="10"/>
  <c r="C118" i="10"/>
  <c r="B80" i="10"/>
  <c r="B182" i="10"/>
  <c r="C94" i="10"/>
  <c r="B145" i="10"/>
  <c r="C55" i="10"/>
  <c r="C34" i="10"/>
  <c r="C191" i="10"/>
  <c r="C116" i="10"/>
  <c r="B50" i="10"/>
  <c r="B32" i="10"/>
  <c r="B138" i="10"/>
  <c r="C112" i="10"/>
  <c r="B150" i="10"/>
  <c r="B189" i="10"/>
  <c r="C245" i="10"/>
  <c r="B72" i="10"/>
  <c r="C343" i="10"/>
  <c r="C369" i="10"/>
  <c r="C282" i="10"/>
  <c r="C613" i="10"/>
  <c r="B490" i="10"/>
  <c r="C231" i="10"/>
  <c r="B153" i="10"/>
  <c r="C53" i="10"/>
  <c r="B48" i="10"/>
  <c r="B110" i="10"/>
  <c r="C12" i="10"/>
  <c r="B191" i="10"/>
  <c r="C1162" i="10"/>
  <c r="C1068" i="10"/>
  <c r="B943" i="10"/>
  <c r="C1055" i="10"/>
  <c r="B932" i="10"/>
  <c r="C1049" i="10"/>
  <c r="B696" i="10"/>
  <c r="B427" i="10"/>
  <c r="C197" i="10"/>
  <c r="B600" i="10"/>
  <c r="B242" i="10"/>
  <c r="B12" i="10"/>
  <c r="B47" i="10"/>
  <c r="B112" i="10"/>
  <c r="B1441" i="10"/>
  <c r="C1366" i="10"/>
  <c r="C1286" i="10"/>
  <c r="B1387" i="10"/>
  <c r="B970" i="10"/>
  <c r="B955" i="10"/>
  <c r="B828" i="10"/>
  <c r="C1006" i="10"/>
  <c r="C751" i="10"/>
  <c r="B516" i="10"/>
  <c r="B1413" i="10"/>
  <c r="C848" i="10"/>
  <c r="C420" i="10"/>
  <c r="B196" i="10"/>
  <c r="C259" i="10"/>
  <c r="C79" i="10"/>
  <c r="C529" i="10"/>
  <c r="C1188" i="10"/>
  <c r="B751" i="10"/>
  <c r="B513" i="10"/>
  <c r="B668" i="10"/>
  <c r="B1037" i="10"/>
  <c r="B411" i="10"/>
  <c r="C147" i="10"/>
  <c r="C114" i="10"/>
  <c r="C91" i="10"/>
  <c r="B118" i="10"/>
  <c r="B82" i="10"/>
  <c r="B90" i="10"/>
  <c r="B1414" i="10"/>
  <c r="C1339" i="10"/>
  <c r="B1210" i="10"/>
  <c r="C1263" i="10"/>
  <c r="C1449" i="10"/>
  <c r="C1382" i="10"/>
  <c r="C1411" i="10"/>
  <c r="B1405" i="10"/>
  <c r="C1170" i="10"/>
  <c r="B1307" i="10"/>
  <c r="C1482" i="10"/>
  <c r="B1344" i="10"/>
  <c r="B1418" i="10"/>
  <c r="C1362" i="10"/>
  <c r="C1429" i="10"/>
  <c r="C1439" i="10"/>
  <c r="C1203" i="10"/>
  <c r="B1339" i="10"/>
  <c r="B1286" i="10"/>
  <c r="B1343" i="10"/>
  <c r="C1190" i="10"/>
  <c r="C1243" i="10"/>
  <c r="B1128" i="10"/>
  <c r="C906" i="10"/>
  <c r="B1164" i="10"/>
  <c r="C927" i="10"/>
  <c r="B1213" i="10"/>
  <c r="B1023" i="10"/>
  <c r="C1158" i="10"/>
  <c r="B1448" i="10"/>
  <c r="B1135" i="10"/>
  <c r="B1308" i="10"/>
  <c r="B816" i="10"/>
  <c r="C1093" i="10"/>
  <c r="B896" i="10"/>
  <c r="C709" i="10"/>
  <c r="B1064" i="10"/>
  <c r="C924" i="10"/>
  <c r="B1079" i="10"/>
  <c r="B872" i="10"/>
  <c r="B1356" i="10"/>
  <c r="B961" i="10"/>
  <c r="B939" i="10"/>
  <c r="B1029" i="10"/>
  <c r="C634" i="10"/>
  <c r="B1104" i="10"/>
  <c r="B674" i="10"/>
  <c r="C831" i="10"/>
  <c r="C623" i="10"/>
  <c r="B1117" i="10"/>
  <c r="B699" i="10"/>
  <c r="B979" i="10"/>
  <c r="C563" i="10"/>
  <c r="B563" i="10"/>
  <c r="C768" i="10"/>
  <c r="C493" i="10"/>
  <c r="C876" i="10"/>
  <c r="B657" i="10"/>
  <c r="C779" i="10"/>
  <c r="C406" i="10"/>
  <c r="C852" i="10"/>
  <c r="B652" i="10"/>
  <c r="C948" i="10"/>
  <c r="B1312" i="10"/>
  <c r="B629" i="10"/>
  <c r="B367" i="10"/>
  <c r="C1069" i="10"/>
  <c r="B1217" i="10"/>
  <c r="B398" i="10"/>
  <c r="C637" i="10"/>
  <c r="B204" i="10"/>
  <c r="C451" i="10"/>
  <c r="C205" i="10"/>
  <c r="B1372" i="10"/>
  <c r="C330" i="10"/>
  <c r="B815" i="10"/>
  <c r="C152" i="10"/>
  <c r="C507" i="10"/>
  <c r="C244" i="10"/>
  <c r="C649" i="10"/>
  <c r="B332" i="10"/>
  <c r="C86" i="10"/>
  <c r="C449" i="10"/>
  <c r="B99" i="10"/>
  <c r="B78" i="10"/>
  <c r="C176" i="10"/>
  <c r="B111" i="10"/>
  <c r="B65" i="10"/>
  <c r="C1363" i="10"/>
  <c r="B1479" i="10"/>
  <c r="C1269" i="10"/>
  <c r="C615" i="10"/>
  <c r="B1111" i="10"/>
  <c r="C1011" i="10"/>
  <c r="B653" i="10"/>
  <c r="C398" i="10"/>
  <c r="B299" i="10"/>
  <c r="B547" i="10"/>
  <c r="C558" i="10"/>
  <c r="C260" i="10"/>
  <c r="C220" i="10"/>
  <c r="C257" i="10"/>
  <c r="B165" i="10"/>
  <c r="C396" i="10"/>
  <c r="C122" i="10"/>
  <c r="C29" i="10"/>
  <c r="B627" i="10"/>
  <c r="B1472" i="10"/>
  <c r="C688" i="10"/>
  <c r="B336" i="10"/>
  <c r="C676" i="10"/>
  <c r="C252" i="10"/>
  <c r="C167" i="10"/>
  <c r="C201" i="10"/>
  <c r="B92" i="10"/>
  <c r="C723" i="10"/>
  <c r="B746" i="10"/>
  <c r="B29" i="10"/>
  <c r="C117" i="10"/>
  <c r="B184" i="10"/>
  <c r="C1032" i="10"/>
  <c r="C1064" i="10"/>
  <c r="C989" i="10"/>
  <c r="C817" i="10"/>
  <c r="C923" i="10"/>
  <c r="B1001" i="10"/>
  <c r="C469" i="10"/>
  <c r="B577" i="10"/>
  <c r="B377" i="10"/>
  <c r="C158" i="10"/>
  <c r="B597" i="10"/>
  <c r="C587" i="10"/>
  <c r="C125" i="10"/>
  <c r="B128" i="10"/>
  <c r="C1417" i="10"/>
  <c r="B1433" i="10"/>
  <c r="C1350" i="10"/>
  <c r="B1452" i="10"/>
  <c r="B1480" i="10"/>
  <c r="C1150" i="10"/>
  <c r="C1000" i="10"/>
  <c r="C1189" i="10"/>
  <c r="B1047" i="10"/>
  <c r="B998" i="10"/>
  <c r="B1041" i="10"/>
  <c r="B1182" i="10"/>
  <c r="C591" i="10"/>
  <c r="B907" i="10"/>
  <c r="B599" i="10"/>
  <c r="C822" i="10"/>
  <c r="C608" i="10"/>
  <c r="B969" i="10"/>
  <c r="B870" i="10"/>
  <c r="B716" i="10"/>
  <c r="B1238" i="10"/>
  <c r="C461" i="10"/>
  <c r="B1052" i="10"/>
  <c r="C555" i="10"/>
  <c r="B683" i="10"/>
  <c r="B1233" i="10"/>
  <c r="C491" i="10"/>
  <c r="C386" i="10"/>
  <c r="C561" i="10"/>
  <c r="B328" i="10"/>
  <c r="C1027" i="10"/>
  <c r="B345" i="10"/>
  <c r="C1155" i="10"/>
  <c r="C898" i="10"/>
  <c r="B1160" i="10"/>
  <c r="B1073" i="10"/>
  <c r="B757" i="10"/>
  <c r="B920" i="10"/>
  <c r="B560" i="10"/>
  <c r="C540" i="10"/>
  <c r="C364" i="10"/>
  <c r="B1163" i="10"/>
  <c r="B619" i="10"/>
  <c r="B252" i="10"/>
  <c r="C136" i="10"/>
  <c r="C155" i="10"/>
  <c r="C96" i="10"/>
  <c r="C71" i="10"/>
  <c r="C146" i="10"/>
  <c r="C164" i="10"/>
  <c r="B126" i="10"/>
  <c r="C1433" i="10"/>
  <c r="C1355" i="10"/>
  <c r="B1218" i="10"/>
  <c r="C1490" i="10"/>
  <c r="B1197" i="10"/>
  <c r="C1147" i="10"/>
  <c r="C1084" i="10"/>
  <c r="B1072" i="10"/>
  <c r="C908" i="10"/>
  <c r="C578" i="10"/>
  <c r="C940" i="10"/>
  <c r="C1440" i="10"/>
  <c r="B557" i="10"/>
  <c r="C477" i="10"/>
  <c r="B717" i="10"/>
  <c r="B630" i="10"/>
  <c r="B380" i="10"/>
  <c r="B936" i="10"/>
  <c r="C348" i="10"/>
  <c r="C1052" i="10"/>
  <c r="C627" i="10"/>
  <c r="B75" i="10"/>
  <c r="C815" i="10"/>
  <c r="B46" i="10"/>
  <c r="B103" i="10"/>
  <c r="B84" i="10"/>
  <c r="C550" i="10"/>
  <c r="C1347" i="10"/>
  <c r="B1158" i="10"/>
  <c r="C1115" i="10"/>
  <c r="C1349" i="10"/>
  <c r="B1109" i="10"/>
  <c r="C1437" i="10"/>
  <c r="C869" i="10"/>
  <c r="C1199" i="10"/>
  <c r="B719" i="10"/>
  <c r="B1471" i="10"/>
  <c r="C1058" i="10"/>
  <c r="B396" i="10"/>
  <c r="C1046" i="10"/>
  <c r="C526" i="10"/>
  <c r="B956" i="10"/>
  <c r="C246" i="10"/>
  <c r="B247" i="10"/>
  <c r="C50" i="10"/>
  <c r="B28" i="10"/>
  <c r="B66" i="10"/>
  <c r="B1332" i="10"/>
  <c r="C1236" i="10"/>
  <c r="B1015" i="10"/>
  <c r="C1235" i="10"/>
  <c r="B1044" i="10"/>
  <c r="B607" i="10"/>
  <c r="C557" i="10"/>
  <c r="B646" i="10"/>
  <c r="C537" i="10"/>
  <c r="C1156" i="10"/>
  <c r="C617" i="10"/>
  <c r="B162" i="10"/>
  <c r="B15" i="10"/>
  <c r="B1458" i="10"/>
  <c r="C1057" i="10"/>
  <c r="C841" i="10"/>
  <c r="C599" i="10"/>
  <c r="C656" i="10"/>
  <c r="C551" i="10"/>
  <c r="C573" i="10"/>
  <c r="C534" i="10"/>
  <c r="C893" i="10"/>
  <c r="B227" i="10"/>
  <c r="C238" i="10"/>
  <c r="C150" i="10"/>
  <c r="C87" i="10"/>
  <c r="B45" i="10"/>
  <c r="B101" i="10"/>
  <c r="B1239" i="10"/>
  <c r="B1169" i="10"/>
  <c r="B1456" i="10"/>
  <c r="B927" i="10"/>
  <c r="C1173" i="10"/>
  <c r="B849" i="10"/>
  <c r="C1020" i="10"/>
  <c r="C1356" i="10"/>
  <c r="C1407" i="10"/>
  <c r="C1225" i="10"/>
  <c r="B937" i="10"/>
  <c r="B748" i="10"/>
  <c r="C562" i="10"/>
  <c r="C800" i="10"/>
  <c r="B554" i="10"/>
  <c r="C531" i="10"/>
  <c r="B549" i="10"/>
  <c r="C708" i="10"/>
  <c r="C611" i="10"/>
  <c r="B659" i="10"/>
  <c r="B1256" i="10"/>
  <c r="C1321" i="10"/>
  <c r="B1313" i="10"/>
  <c r="B1398" i="10"/>
  <c r="B1311" i="10"/>
  <c r="B1194" i="10"/>
  <c r="C1418" i="10"/>
  <c r="C1231" i="10"/>
  <c r="B1304" i="10"/>
  <c r="B1223" i="10"/>
  <c r="C1264" i="10"/>
  <c r="B1306" i="10"/>
  <c r="C1468" i="10"/>
  <c r="C1495" i="10"/>
  <c r="C1169" i="10"/>
  <c r="C1128" i="10"/>
  <c r="B1319" i="10"/>
  <c r="C1375" i="10"/>
  <c r="C1034" i="10"/>
  <c r="B946" i="10"/>
  <c r="C1118" i="10"/>
  <c r="B903" i="10"/>
  <c r="B1316" i="10"/>
  <c r="C928" i="10"/>
  <c r="C1148" i="10"/>
  <c r="B1024" i="10"/>
  <c r="B1227" i="10"/>
  <c r="C915" i="10"/>
  <c r="C1380" i="10"/>
  <c r="C1251" i="10"/>
  <c r="B924" i="10"/>
  <c r="C826" i="10"/>
  <c r="C1303" i="10"/>
  <c r="C1003" i="10"/>
  <c r="B858" i="10"/>
  <c r="C506" i="10"/>
  <c r="C932" i="10"/>
  <c r="B538" i="10"/>
  <c r="B727" i="10"/>
  <c r="B1152" i="10"/>
  <c r="B850" i="10"/>
  <c r="C947" i="10"/>
  <c r="C862" i="10"/>
  <c r="B664" i="10"/>
  <c r="B1105" i="10"/>
  <c r="B825" i="10"/>
  <c r="B759" i="10"/>
  <c r="C488" i="10"/>
  <c r="B901" i="10"/>
  <c r="C685" i="10"/>
  <c r="B743" i="10"/>
  <c r="C523" i="10"/>
  <c r="B651" i="10"/>
  <c r="C668" i="10"/>
  <c r="B1167" i="10"/>
  <c r="C355" i="10"/>
  <c r="C1111" i="10"/>
  <c r="C336" i="10"/>
  <c r="B312" i="10"/>
  <c r="B868" i="10"/>
  <c r="C349" i="10"/>
  <c r="B321" i="10"/>
  <c r="B378" i="10"/>
  <c r="B454" i="10"/>
  <c r="B258" i="10"/>
  <c r="B665" i="10"/>
  <c r="C306" i="10"/>
  <c r="C788" i="10"/>
  <c r="C202" i="10"/>
  <c r="C490" i="10"/>
  <c r="B319" i="10"/>
  <c r="C335" i="10"/>
  <c r="C346" i="10"/>
  <c r="B160" i="10"/>
  <c r="C265" i="10"/>
  <c r="B753" i="10"/>
  <c r="B374" i="10"/>
  <c r="B556" i="10"/>
  <c r="B137" i="10"/>
  <c r="B391" i="10"/>
  <c r="C108" i="10"/>
  <c r="C322" i="10"/>
  <c r="C153" i="10"/>
  <c r="C178" i="10"/>
  <c r="C74" i="10"/>
  <c r="B70" i="10"/>
  <c r="B85" i="10"/>
  <c r="C42" i="10"/>
  <c r="C21" i="10"/>
  <c r="C221" i="10"/>
  <c r="B57" i="10"/>
  <c r="B40" i="10"/>
  <c r="B23" i="10"/>
  <c r="B230" i="10"/>
  <c r="C993" i="10"/>
  <c r="B841" i="10"/>
  <c r="C189" i="10"/>
  <c r="C65" i="10"/>
  <c r="C72" i="10"/>
  <c r="C126" i="10"/>
  <c r="C535" i="10"/>
  <c r="C128" i="10"/>
  <c r="C890" i="10"/>
  <c r="C1313" i="10"/>
  <c r="B1478" i="10"/>
  <c r="C1491" i="10"/>
  <c r="C1290" i="10"/>
  <c r="C1381" i="10"/>
  <c r="B1266" i="10"/>
  <c r="C1223" i="10"/>
  <c r="B1301" i="10"/>
  <c r="C1256" i="10"/>
  <c r="C1308" i="10"/>
  <c r="B1297" i="10"/>
  <c r="B1455" i="10"/>
  <c r="C1166" i="10"/>
  <c r="B1083" i="10"/>
  <c r="C1120" i="10"/>
  <c r="C1257" i="10"/>
  <c r="B1277" i="10"/>
  <c r="C1026" i="10"/>
  <c r="B1018" i="10"/>
  <c r="C1346" i="10"/>
  <c r="C1464" i="10"/>
  <c r="B1060" i="10"/>
  <c r="C912" i="10"/>
  <c r="C931" i="10"/>
  <c r="C829" i="10"/>
  <c r="B813" i="10"/>
  <c r="B921" i="10"/>
  <c r="C818" i="10"/>
  <c r="B1075" i="10"/>
  <c r="B818" i="10"/>
  <c r="B1265" i="10"/>
  <c r="B1493" i="10"/>
  <c r="B1237" i="10"/>
  <c r="B854" i="10"/>
  <c r="C704" i="10"/>
  <c r="B618" i="10"/>
  <c r="B950" i="10"/>
  <c r="B724" i="10"/>
  <c r="B663" i="10"/>
  <c r="C774" i="10"/>
  <c r="B1082" i="10"/>
  <c r="B811" i="10"/>
  <c r="C732" i="10"/>
  <c r="C440" i="10"/>
  <c r="C856" i="10"/>
  <c r="B432" i="10"/>
  <c r="C939" i="10"/>
  <c r="C678" i="10"/>
  <c r="B1211" i="10"/>
  <c r="C735" i="10"/>
  <c r="B389" i="10"/>
  <c r="C520" i="10"/>
  <c r="C665" i="10"/>
  <c r="C1041" i="10"/>
  <c r="C436" i="10"/>
  <c r="C328" i="10"/>
  <c r="C409" i="10"/>
  <c r="B481" i="10"/>
  <c r="C317" i="10"/>
  <c r="C659" i="10"/>
  <c r="C468" i="10"/>
  <c r="C894" i="10"/>
  <c r="C518" i="10"/>
  <c r="C450" i="10"/>
  <c r="C614" i="10"/>
  <c r="B268" i="10"/>
  <c r="B447" i="10"/>
  <c r="C295" i="10"/>
  <c r="B608" i="10"/>
  <c r="B327" i="10"/>
  <c r="B201" i="10"/>
  <c r="B309" i="10"/>
  <c r="C565" i="10"/>
  <c r="B487" i="10"/>
  <c r="B148" i="10"/>
  <c r="B290" i="10"/>
  <c r="B534" i="10"/>
  <c r="C738" i="10"/>
  <c r="C121" i="10"/>
  <c r="B368" i="10"/>
  <c r="C431" i="10"/>
  <c r="B133" i="10"/>
  <c r="C102" i="10"/>
  <c r="C316" i="10"/>
  <c r="B108" i="10"/>
  <c r="B154" i="10"/>
  <c r="B59" i="10"/>
  <c r="C83" i="10"/>
  <c r="C41" i="10"/>
  <c r="C20" i="10"/>
  <c r="B56" i="10"/>
  <c r="B39" i="10"/>
  <c r="B22" i="10"/>
  <c r="B205" i="10"/>
  <c r="B155" i="10"/>
  <c r="C254" i="10"/>
  <c r="B164" i="10"/>
  <c r="C69" i="10"/>
  <c r="B123" i="10"/>
  <c r="C473" i="10"/>
  <c r="B77" i="10"/>
  <c r="C1494" i="10"/>
  <c r="C1483" i="10"/>
  <c r="C1282" i="10"/>
  <c r="B1378" i="10"/>
  <c r="C1215" i="10"/>
  <c r="B1298" i="10"/>
  <c r="C1248" i="10"/>
  <c r="B1305" i="10"/>
  <c r="C1293" i="10"/>
  <c r="B1110" i="10"/>
  <c r="B1447" i="10"/>
  <c r="B1468" i="10"/>
  <c r="B1155" i="10"/>
  <c r="C1112" i="10"/>
  <c r="B1230" i="10"/>
  <c r="C1270" i="10"/>
  <c r="B1244" i="10"/>
  <c r="C1018" i="10"/>
  <c r="C1039" i="10"/>
  <c r="B895" i="10"/>
  <c r="C1300" i="10"/>
  <c r="C1394" i="10"/>
  <c r="C1132" i="10"/>
  <c r="B1016" i="10"/>
  <c r="B1057" i="10"/>
  <c r="C1028" i="10"/>
  <c r="C902" i="10"/>
  <c r="B1295" i="10"/>
  <c r="B928" i="10"/>
  <c r="C797" i="10"/>
  <c r="C1208" i="10"/>
  <c r="B1193" i="10"/>
  <c r="B908" i="10"/>
  <c r="C786" i="10"/>
  <c r="C1487" i="10"/>
  <c r="B701" i="10"/>
  <c r="C727" i="10"/>
  <c r="C721" i="10"/>
  <c r="B1136" i="10"/>
  <c r="B771" i="10"/>
  <c r="B851" i="10"/>
  <c r="C807" i="10"/>
  <c r="B1261" i="10"/>
  <c r="C700" i="10"/>
  <c r="C432" i="10"/>
  <c r="C660" i="10"/>
  <c r="C1197" i="10"/>
  <c r="B469" i="10"/>
  <c r="C494" i="10"/>
  <c r="B838" i="10"/>
  <c r="B520" i="10"/>
  <c r="C956" i="10"/>
  <c r="C661" i="10"/>
  <c r="B1035" i="10"/>
  <c r="C980" i="10"/>
  <c r="B433" i="10"/>
  <c r="C320" i="10"/>
  <c r="B406" i="10"/>
  <c r="C463" i="10"/>
  <c r="C1338" i="10"/>
  <c r="B649" i="10"/>
  <c r="B313" i="10"/>
  <c r="B889" i="10"/>
  <c r="C447" i="10"/>
  <c r="B584" i="10"/>
  <c r="C442" i="10"/>
  <c r="C250" i="10"/>
  <c r="C291" i="10"/>
  <c r="C597" i="10"/>
  <c r="B317" i="10"/>
  <c r="B476" i="10"/>
  <c r="C283" i="10"/>
  <c r="B512" i="10"/>
  <c r="B186" i="10"/>
  <c r="B144" i="10"/>
  <c r="B221" i="10"/>
  <c r="B507" i="10"/>
  <c r="B200" i="10"/>
  <c r="B673" i="10"/>
  <c r="B114" i="10"/>
  <c r="B122" i="10"/>
  <c r="C292" i="10"/>
  <c r="B146" i="10"/>
  <c r="C1078" i="10"/>
  <c r="C699" i="10"/>
  <c r="C203" i="10"/>
  <c r="C67" i="10"/>
  <c r="C40" i="10"/>
  <c r="C19" i="10"/>
  <c r="B157" i="10"/>
  <c r="B55" i="10"/>
  <c r="B38" i="10"/>
  <c r="B21" i="10"/>
  <c r="C787" i="10"/>
  <c r="C313" i="10"/>
  <c r="C539" i="10"/>
  <c r="B147" i="10"/>
  <c r="C62" i="10"/>
  <c r="C106" i="10"/>
  <c r="B68" i="10"/>
  <c r="B95" i="10"/>
  <c r="C77" i="10"/>
  <c r="C95" i="10"/>
  <c r="B10" i="10"/>
  <c r="C134" i="10"/>
  <c r="B463" i="10"/>
  <c r="C503" i="10"/>
  <c r="L23" i="10"/>
  <c r="K23" i="10"/>
  <c r="C419" i="10"/>
  <c r="C1198" i="10"/>
  <c r="C415" i="10"/>
  <c r="C92" i="10"/>
  <c r="B136" i="10"/>
  <c r="B758" i="10"/>
  <c r="C82" i="10"/>
  <c r="B41" i="10"/>
  <c r="B524" i="10"/>
  <c r="C1117" i="10"/>
  <c r="B798" i="10"/>
  <c r="B621" i="10"/>
  <c r="C629" i="10"/>
  <c r="B862" i="10"/>
  <c r="C1461" i="10"/>
  <c r="B1034" i="10"/>
  <c r="C1067" i="10"/>
  <c r="B1432" i="10"/>
  <c r="C673" i="10"/>
  <c r="C207" i="10"/>
  <c r="C269" i="10"/>
  <c r="B428" i="10"/>
  <c r="B910" i="10"/>
  <c r="B330" i="10"/>
  <c r="B960" i="10"/>
  <c r="C880" i="10"/>
  <c r="C793" i="10"/>
  <c r="C969" i="10"/>
  <c r="C1245" i="10"/>
  <c r="C944" i="10"/>
  <c r="C1136" i="10"/>
  <c r="B1362" i="10"/>
  <c r="B43" i="10"/>
  <c r="B1140" i="10"/>
  <c r="B845" i="10"/>
  <c r="B104" i="10"/>
  <c r="C88" i="10"/>
  <c r="C243" i="10"/>
  <c r="B491" i="10"/>
  <c r="B106" i="10"/>
  <c r="C25" i="10"/>
  <c r="B139" i="10"/>
  <c r="B641" i="10"/>
  <c r="B190" i="10"/>
  <c r="C206" i="10"/>
  <c r="B158" i="10"/>
  <c r="B279" i="10"/>
  <c r="B909" i="10"/>
  <c r="C388" i="10"/>
  <c r="C229" i="10"/>
  <c r="B243" i="10"/>
  <c r="C446" i="10"/>
  <c r="B827" i="10"/>
  <c r="C643" i="10"/>
  <c r="C996" i="10"/>
  <c r="B1120" i="10"/>
  <c r="B546" i="10"/>
  <c r="C554" i="10"/>
  <c r="C857" i="10"/>
  <c r="B905" i="10"/>
  <c r="B1017" i="10"/>
  <c r="C741" i="10"/>
  <c r="C1151" i="10"/>
  <c r="B839" i="10"/>
  <c r="C1031" i="10"/>
  <c r="B1490" i="10"/>
  <c r="B1282" i="10"/>
  <c r="C1314" i="10"/>
  <c r="C1331" i="10"/>
  <c r="C1478" i="10"/>
  <c r="L31" i="10"/>
  <c r="K31" i="10"/>
  <c r="L49" i="10"/>
  <c r="K49" i="10"/>
  <c r="L39" i="10"/>
  <c r="K39" i="10"/>
  <c r="K24" i="10"/>
  <c r="L24" i="10"/>
  <c r="L15" i="10"/>
  <c r="K15" i="10"/>
  <c r="L14" i="10"/>
  <c r="K14" i="10"/>
  <c r="L45" i="10"/>
  <c r="K45" i="10"/>
  <c r="K131" i="10"/>
  <c r="L131" i="10"/>
  <c r="K12" i="10"/>
  <c r="L12" i="10"/>
  <c r="L50" i="10"/>
  <c r="K50" i="10"/>
  <c r="K32" i="10"/>
  <c r="L32" i="10"/>
  <c r="L51" i="10"/>
  <c r="K51" i="10"/>
  <c r="K36" i="10"/>
  <c r="L36" i="10"/>
  <c r="F228" i="10"/>
  <c r="F120" i="10"/>
  <c r="F263" i="10"/>
  <c r="F165" i="10"/>
  <c r="F121" i="10"/>
  <c r="F168" i="10"/>
  <c r="F83" i="10"/>
  <c r="F108" i="10"/>
  <c r="F134" i="10"/>
  <c r="F27" i="10"/>
  <c r="F215" i="10"/>
  <c r="F26" i="10"/>
  <c r="F79" i="10"/>
  <c r="F98" i="10"/>
  <c r="F78" i="10"/>
  <c r="F184" i="10"/>
  <c r="F94" i="10"/>
  <c r="F200" i="10"/>
  <c r="F226" i="10"/>
  <c r="F44" i="10"/>
  <c r="F140" i="10"/>
  <c r="F254" i="10"/>
  <c r="F43" i="10"/>
  <c r="F42" i="10"/>
  <c r="F201" i="10"/>
  <c r="F77" i="10"/>
  <c r="F112" i="10"/>
  <c r="F132" i="10"/>
  <c r="F237" i="10"/>
  <c r="F197" i="10"/>
  <c r="F188" i="10"/>
  <c r="F29" i="10"/>
  <c r="F95" i="10"/>
  <c r="F255" i="10"/>
  <c r="F118" i="10"/>
  <c r="F63" i="10"/>
  <c r="F107" i="10"/>
  <c r="F233" i="10"/>
  <c r="F256" i="10"/>
  <c r="F96" i="10"/>
  <c r="F100" i="10"/>
  <c r="F211" i="10"/>
  <c r="F25" i="10"/>
  <c r="F30" i="10"/>
  <c r="F72" i="10"/>
  <c r="F248" i="10"/>
  <c r="F45" i="10"/>
  <c r="F113" i="10"/>
  <c r="F244" i="10"/>
  <c r="F126" i="10"/>
  <c r="F187" i="10"/>
  <c r="F133" i="10"/>
  <c r="F236" i="10"/>
  <c r="F58" i="10"/>
  <c r="F147" i="10"/>
  <c r="F41" i="10"/>
  <c r="F15" i="10"/>
  <c r="F243" i="10"/>
  <c r="F111" i="10"/>
  <c r="F124" i="10"/>
  <c r="F252" i="10"/>
  <c r="F144" i="10"/>
  <c r="F241" i="10"/>
  <c r="F87" i="10"/>
  <c r="F122" i="10"/>
  <c r="F153" i="10"/>
  <c r="F163" i="10"/>
  <c r="F180" i="10"/>
  <c r="F103" i="10"/>
  <c r="F53" i="10"/>
  <c r="F21" i="10"/>
  <c r="F138" i="10"/>
  <c r="F85" i="10"/>
  <c r="F8" i="10"/>
  <c r="F164" i="10"/>
  <c r="F70" i="10"/>
  <c r="F172" i="10"/>
  <c r="F28" i="10"/>
  <c r="F264" i="10"/>
  <c r="F116" i="10"/>
  <c r="F110" i="10"/>
  <c r="F223" i="10"/>
  <c r="F106" i="10"/>
  <c r="F176" i="10"/>
  <c r="F227" i="10"/>
  <c r="F171" i="10"/>
  <c r="F217" i="10"/>
  <c r="F37" i="10"/>
  <c r="F68" i="10"/>
  <c r="F101" i="10"/>
  <c r="F192" i="10"/>
  <c r="F209" i="10"/>
  <c r="F139" i="10"/>
  <c r="F154" i="10"/>
  <c r="F224" i="10"/>
  <c r="F67" i="10"/>
  <c r="F143" i="10"/>
  <c r="F104" i="10"/>
  <c r="F130" i="10"/>
  <c r="F231" i="10"/>
  <c r="F57" i="10"/>
  <c r="F13" i="10"/>
  <c r="K37" i="10"/>
  <c r="G270" i="10"/>
  <c r="G254" i="10"/>
  <c r="G238" i="10"/>
  <c r="G222" i="10"/>
  <c r="G175" i="10"/>
  <c r="G209" i="10"/>
  <c r="G144" i="10"/>
  <c r="G82" i="10"/>
  <c r="G109" i="10"/>
  <c r="G181" i="10"/>
  <c r="G126" i="10"/>
  <c r="G47" i="10"/>
  <c r="G52" i="10"/>
  <c r="G84" i="10"/>
  <c r="G80" i="10"/>
  <c r="G40" i="10"/>
  <c r="G150" i="10"/>
  <c r="G266" i="10"/>
  <c r="G217" i="10"/>
  <c r="G77" i="10"/>
  <c r="G122" i="10"/>
  <c r="G75" i="10"/>
  <c r="G216" i="10"/>
  <c r="G157" i="10"/>
  <c r="G107" i="10"/>
  <c r="G39" i="10"/>
  <c r="G231" i="10"/>
  <c r="G197" i="10"/>
  <c r="G59" i="10"/>
  <c r="G29" i="10"/>
  <c r="G189" i="10"/>
  <c r="G211" i="10"/>
  <c r="G184" i="10"/>
  <c r="G135" i="10"/>
  <c r="G94" i="10"/>
  <c r="G21" i="10"/>
  <c r="G228" i="10"/>
  <c r="G110" i="10"/>
  <c r="G170" i="10"/>
  <c r="G104" i="10"/>
  <c r="G13" i="10"/>
  <c r="G269" i="10"/>
  <c r="G253" i="10"/>
  <c r="G237" i="10"/>
  <c r="G221" i="10"/>
  <c r="G156" i="10"/>
  <c r="G205" i="10"/>
  <c r="G140" i="10"/>
  <c r="G174" i="10"/>
  <c r="G100" i="10"/>
  <c r="G203" i="10"/>
  <c r="G79" i="10"/>
  <c r="G45" i="10"/>
  <c r="G50" i="10"/>
  <c r="G72" i="10"/>
  <c r="G37" i="10"/>
  <c r="G38" i="10"/>
  <c r="G78" i="10"/>
  <c r="G218" i="10"/>
  <c r="G182" i="10"/>
  <c r="G106" i="10"/>
  <c r="G121" i="10"/>
  <c r="G44" i="10"/>
  <c r="G32" i="10"/>
  <c r="G265" i="10"/>
  <c r="G210" i="10"/>
  <c r="G15" i="10"/>
  <c r="G128" i="10"/>
  <c r="G248" i="10"/>
  <c r="G70" i="10"/>
  <c r="G87" i="10"/>
  <c r="G115" i="10"/>
  <c r="G263" i="10"/>
  <c r="G163" i="10"/>
  <c r="G85" i="10"/>
  <c r="G26" i="10"/>
  <c r="G214" i="10"/>
  <c r="G101" i="10"/>
  <c r="G143" i="10"/>
  <c r="G206" i="10"/>
  <c r="G7" i="10"/>
  <c r="G260" i="10"/>
  <c r="G103" i="10"/>
  <c r="G208" i="10"/>
  <c r="G92" i="10"/>
  <c r="G120" i="10"/>
  <c r="G268" i="10"/>
  <c r="G252" i="10"/>
  <c r="G236" i="10"/>
  <c r="G220" i="10"/>
  <c r="G193" i="10"/>
  <c r="G195" i="10"/>
  <c r="G136" i="10"/>
  <c r="G139" i="10"/>
  <c r="G83" i="10"/>
  <c r="G192" i="10"/>
  <c r="G68" i="10"/>
  <c r="G194" i="10"/>
  <c r="G48" i="10"/>
  <c r="G66" i="10"/>
  <c r="G25" i="10"/>
  <c r="G36" i="10"/>
  <c r="G89" i="10"/>
  <c r="G234" i="10"/>
  <c r="G185" i="10"/>
  <c r="G130" i="10"/>
  <c r="G69" i="10"/>
  <c r="G9" i="10"/>
  <c r="G233" i="10"/>
  <c r="G160" i="10"/>
  <c r="G133" i="10"/>
  <c r="G30" i="10"/>
  <c r="G232" i="10"/>
  <c r="G179" i="10"/>
  <c r="G113" i="10"/>
  <c r="G35" i="10"/>
  <c r="G215" i="10"/>
  <c r="G62" i="10"/>
  <c r="G23" i="10"/>
  <c r="G158" i="10"/>
  <c r="G11" i="10"/>
  <c r="G261" i="10"/>
  <c r="G123" i="10"/>
  <c r="G22" i="10"/>
  <c r="G159" i="10"/>
  <c r="G67" i="10"/>
  <c r="G259" i="10"/>
  <c r="G142" i="10"/>
  <c r="G267" i="10"/>
  <c r="G251" i="10"/>
  <c r="G235" i="10"/>
  <c r="G219" i="10"/>
  <c r="G191" i="10"/>
  <c r="G180" i="10"/>
  <c r="G213" i="10"/>
  <c r="G116" i="10"/>
  <c r="G187" i="10"/>
  <c r="G132" i="10"/>
  <c r="G61" i="10"/>
  <c r="G188" i="10"/>
  <c r="G46" i="10"/>
  <c r="G63" i="10"/>
  <c r="G65" i="10"/>
  <c r="G34" i="10"/>
  <c r="G43" i="10"/>
  <c r="G250" i="10"/>
  <c r="G164" i="10"/>
  <c r="G124" i="10"/>
  <c r="G168" i="10"/>
  <c r="G12" i="10"/>
  <c r="G249" i="10"/>
  <c r="G166" i="10"/>
  <c r="G98" i="10"/>
  <c r="G42" i="10"/>
  <c r="G18" i="10"/>
  <c r="G264" i="10"/>
  <c r="G201" i="10"/>
  <c r="G76" i="10"/>
  <c r="G165" i="10"/>
  <c r="G28" i="10"/>
  <c r="G247" i="10"/>
  <c r="G117" i="10"/>
  <c r="G131" i="10"/>
  <c r="G16" i="10"/>
  <c r="G246" i="10"/>
  <c r="G127" i="10"/>
  <c r="G229" i="10"/>
  <c r="G138" i="10"/>
  <c r="G169" i="10"/>
  <c r="G111" i="10"/>
  <c r="G99" i="10"/>
  <c r="G227" i="10"/>
  <c r="G93" i="10"/>
  <c r="G97" i="10"/>
  <c r="G90" i="10"/>
  <c r="G73" i="10"/>
  <c r="G244" i="10"/>
  <c r="G41" i="10"/>
  <c r="G153" i="10"/>
  <c r="G58" i="10"/>
  <c r="G258" i="10"/>
  <c r="G242" i="10"/>
  <c r="G226" i="10"/>
  <c r="G199" i="10"/>
  <c r="G149" i="10"/>
  <c r="G177" i="10"/>
  <c r="G190" i="10"/>
  <c r="G88" i="10"/>
  <c r="G74" i="10"/>
  <c r="G102" i="10"/>
  <c r="G55" i="10"/>
  <c r="G119" i="10"/>
  <c r="G27" i="10"/>
  <c r="G112" i="10"/>
  <c r="G108" i="10"/>
  <c r="G105" i="10"/>
  <c r="G256" i="10"/>
  <c r="G224" i="10"/>
  <c r="G204" i="10"/>
  <c r="G152" i="10"/>
  <c r="G183" i="10"/>
  <c r="G10" i="10"/>
  <c r="G56" i="10"/>
  <c r="G19" i="10"/>
  <c r="G8" i="10"/>
  <c r="G255" i="10"/>
  <c r="G223" i="10"/>
  <c r="G196" i="10"/>
  <c r="G137" i="10"/>
  <c r="G125" i="10"/>
  <c r="G114" i="10"/>
  <c r="G129" i="10"/>
  <c r="G54" i="10"/>
  <c r="G91" i="10"/>
  <c r="G86" i="10"/>
  <c r="G162" i="10"/>
  <c r="G262" i="10"/>
  <c r="G172" i="10"/>
  <c r="G24" i="10"/>
  <c r="G245" i="10"/>
  <c r="G171" i="10"/>
  <c r="G186" i="10"/>
  <c r="G167" i="10"/>
  <c r="G243" i="10"/>
  <c r="G31" i="10"/>
  <c r="G257" i="10"/>
  <c r="G241" i="10"/>
  <c r="G225" i="10"/>
  <c r="G212" i="10"/>
  <c r="G145" i="10"/>
  <c r="G161" i="10"/>
  <c r="G151" i="10"/>
  <c r="G200" i="10"/>
  <c r="G71" i="10"/>
  <c r="G81" i="10"/>
  <c r="G53" i="10"/>
  <c r="G57" i="10"/>
  <c r="G17" i="10"/>
  <c r="G33" i="10"/>
  <c r="G202" i="10"/>
  <c r="G178" i="10"/>
  <c r="G240" i="10"/>
  <c r="G141" i="10"/>
  <c r="G146" i="10"/>
  <c r="G64" i="10"/>
  <c r="G51" i="10"/>
  <c r="G154" i="10"/>
  <c r="G155" i="10"/>
  <c r="G239" i="10"/>
  <c r="G148" i="10"/>
  <c r="G60" i="10"/>
  <c r="G49" i="10"/>
  <c r="G118" i="10"/>
  <c r="G147" i="10"/>
  <c r="G14" i="10"/>
  <c r="G230" i="10"/>
  <c r="G176" i="10"/>
  <c r="G173" i="10"/>
  <c r="G134" i="10"/>
  <c r="G198" i="10"/>
  <c r="G96" i="10"/>
  <c r="G20" i="10"/>
  <c r="G207" i="10"/>
  <c r="G95" i="10"/>
  <c r="L22" i="10" l="1"/>
  <c r="L41" i="10"/>
  <c r="L11" i="10"/>
  <c r="K54" i="10"/>
  <c r="L42" i="10"/>
  <c r="K19" i="10"/>
  <c r="L38" i="10"/>
  <c r="K241" i="10"/>
  <c r="N241" i="10" s="1"/>
  <c r="P245" i="10" s="1"/>
  <c r="B240" i="6" s="1"/>
  <c r="K116" i="10"/>
  <c r="K43" i="10"/>
  <c r="N43" i="10" s="1"/>
  <c r="P47" i="10" s="1"/>
  <c r="B42" i="6" s="1"/>
  <c r="L21" i="10"/>
  <c r="N21" i="10" s="1"/>
  <c r="P25" i="10" s="1"/>
  <c r="B20" i="6" s="1"/>
  <c r="K33" i="10"/>
  <c r="N33" i="10" s="1"/>
  <c r="P37" i="10" s="1"/>
  <c r="B32" i="6" s="1"/>
  <c r="L34" i="10"/>
  <c r="N34" i="10" s="1"/>
  <c r="P38" i="10" s="1"/>
  <c r="B33" i="6" s="1"/>
  <c r="K13" i="10"/>
  <c r="N13" i="10" s="1"/>
  <c r="P17" i="10" s="1"/>
  <c r="B12" i="6" s="1"/>
  <c r="L18" i="10"/>
  <c r="N18" i="10" s="1"/>
  <c r="P22" i="10" s="1"/>
  <c r="B17" i="6" s="1"/>
  <c r="K57" i="10"/>
  <c r="N57" i="10" s="1"/>
  <c r="P61" i="10" s="1"/>
  <c r="B56" i="6" s="1"/>
  <c r="L201" i="10"/>
  <c r="L48" i="10"/>
  <c r="N48" i="10" s="1"/>
  <c r="P52" i="10" s="1"/>
  <c r="B47" i="6" s="1"/>
  <c r="L27" i="10"/>
  <c r="L86" i="10"/>
  <c r="K53" i="10"/>
  <c r="N53" i="10" s="1"/>
  <c r="P57" i="10" s="1"/>
  <c r="B52" i="6" s="1"/>
  <c r="L66" i="10"/>
  <c r="N66" i="10" s="1"/>
  <c r="P70" i="10" s="1"/>
  <c r="B65" i="6" s="1"/>
  <c r="K58" i="10"/>
  <c r="N58" i="10" s="1"/>
  <c r="P62" i="10" s="1"/>
  <c r="B57" i="6" s="1"/>
  <c r="K25" i="10"/>
  <c r="N25" i="10" s="1"/>
  <c r="P29" i="10" s="1"/>
  <c r="B24" i="6" s="1"/>
  <c r="K44" i="10"/>
  <c r="N44" i="10" s="1"/>
  <c r="P48" i="10" s="1"/>
  <c r="B43" i="6" s="1"/>
  <c r="K29" i="10"/>
  <c r="N29" i="10" s="1"/>
  <c r="P33" i="10" s="1"/>
  <c r="B28" i="6" s="1"/>
  <c r="K26" i="10"/>
  <c r="N26" i="10" s="1"/>
  <c r="P30" i="10" s="1"/>
  <c r="B25" i="6" s="1"/>
  <c r="K30" i="10"/>
  <c r="N30" i="10" s="1"/>
  <c r="P34" i="10" s="1"/>
  <c r="B29" i="6" s="1"/>
  <c r="L47" i="10"/>
  <c r="N47" i="10" s="1"/>
  <c r="P51" i="10" s="1"/>
  <c r="B46" i="6" s="1"/>
  <c r="K35" i="10"/>
  <c r="N35" i="10" s="1"/>
  <c r="P39" i="10" s="1"/>
  <c r="B34" i="6" s="1"/>
  <c r="L175" i="10"/>
  <c r="N175" i="10" s="1"/>
  <c r="P179" i="10" s="1"/>
  <c r="B174" i="6" s="1"/>
  <c r="L10" i="10"/>
  <c r="K115" i="10"/>
  <c r="N115" i="10" s="1"/>
  <c r="P119" i="10" s="1"/>
  <c r="B114" i="6" s="1"/>
  <c r="K248" i="10"/>
  <c r="N248" i="10" s="1"/>
  <c r="P252" i="10" s="1"/>
  <c r="B247" i="6" s="1"/>
  <c r="L102" i="10"/>
  <c r="N102" i="10" s="1"/>
  <c r="P106" i="10" s="1"/>
  <c r="B101" i="6" s="1"/>
  <c r="K75" i="10"/>
  <c r="N75" i="10" s="1"/>
  <c r="P79" i="10" s="1"/>
  <c r="B74" i="6" s="1"/>
  <c r="K101" i="10"/>
  <c r="N101" i="10" s="1"/>
  <c r="P105" i="10" s="1"/>
  <c r="B100" i="6" s="1"/>
  <c r="L187" i="10"/>
  <c r="N187" i="10" s="1"/>
  <c r="P191" i="10" s="1"/>
  <c r="B186" i="6" s="1"/>
  <c r="L7" i="10"/>
  <c r="L141" i="10"/>
  <c r="N141" i="10" s="1"/>
  <c r="P145" i="10" s="1"/>
  <c r="B140" i="6" s="1"/>
  <c r="K60" i="10"/>
  <c r="N60" i="10" s="1"/>
  <c r="P64" i="10" s="1"/>
  <c r="B59" i="6" s="1"/>
  <c r="L88" i="10"/>
  <c r="N88" i="10" s="1"/>
  <c r="P92" i="10" s="1"/>
  <c r="B87" i="6" s="1"/>
  <c r="K17" i="10"/>
  <c r="N17" i="10" s="1"/>
  <c r="P21" i="10" s="1"/>
  <c r="B16" i="6" s="1"/>
  <c r="L109" i="10"/>
  <c r="N109" i="10" s="1"/>
  <c r="P113" i="10" s="1"/>
  <c r="B108" i="6" s="1"/>
  <c r="L107" i="10"/>
  <c r="N107" i="10" s="1"/>
  <c r="P111" i="10" s="1"/>
  <c r="B106" i="6" s="1"/>
  <c r="K114" i="10"/>
  <c r="N114" i="10" s="1"/>
  <c r="P118" i="10" s="1"/>
  <c r="B113" i="6" s="1"/>
  <c r="L173" i="10"/>
  <c r="N173" i="10" s="1"/>
  <c r="P177" i="10" s="1"/>
  <c r="B172" i="6" s="1"/>
  <c r="L171" i="10"/>
  <c r="N171" i="10" s="1"/>
  <c r="P175" i="10" s="1"/>
  <c r="B170" i="6" s="1"/>
  <c r="K79" i="10"/>
  <c r="N79" i="10" s="1"/>
  <c r="P83" i="10" s="1"/>
  <c r="B78" i="6" s="1"/>
  <c r="L28" i="10"/>
  <c r="N28" i="10" s="1"/>
  <c r="P32" i="10" s="1"/>
  <c r="B27" i="6" s="1"/>
  <c r="L239" i="10"/>
  <c r="N239" i="10" s="1"/>
  <c r="P243" i="10" s="1"/>
  <c r="B238" i="6" s="1"/>
  <c r="K157" i="10"/>
  <c r="N157" i="10" s="1"/>
  <c r="P161" i="10" s="1"/>
  <c r="B156" i="6" s="1"/>
  <c r="L146" i="10"/>
  <c r="N146" i="10" s="1"/>
  <c r="P150" i="10" s="1"/>
  <c r="B145" i="6" s="1"/>
  <c r="L104" i="10"/>
  <c r="N104" i="10" s="1"/>
  <c r="P108" i="10" s="1"/>
  <c r="B103" i="6" s="1"/>
  <c r="L130" i="10"/>
  <c r="N130" i="10" s="1"/>
  <c r="P134" i="10" s="1"/>
  <c r="B129" i="6" s="1"/>
  <c r="L132" i="10"/>
  <c r="N132" i="10" s="1"/>
  <c r="P136" i="10" s="1"/>
  <c r="B131" i="6" s="1"/>
  <c r="L59" i="10"/>
  <c r="N59" i="10" s="1"/>
  <c r="P63" i="10" s="1"/>
  <c r="B58" i="6" s="1"/>
  <c r="K120" i="10"/>
  <c r="N120" i="10" s="1"/>
  <c r="P124" i="10" s="1"/>
  <c r="B119" i="6" s="1"/>
  <c r="L77" i="10"/>
  <c r="N77" i="10" s="1"/>
  <c r="P81" i="10" s="1"/>
  <c r="B76" i="6" s="1"/>
  <c r="L117" i="10"/>
  <c r="N117" i="10" s="1"/>
  <c r="P121" i="10" s="1"/>
  <c r="B116" i="6" s="1"/>
  <c r="L135" i="10"/>
  <c r="N135" i="10" s="1"/>
  <c r="P139" i="10" s="1"/>
  <c r="B134" i="6" s="1"/>
  <c r="L128" i="10"/>
  <c r="N128" i="10" s="1"/>
  <c r="P132" i="10" s="1"/>
  <c r="B127" i="6" s="1"/>
  <c r="K206" i="10"/>
  <c r="N206" i="10" s="1"/>
  <c r="P210" i="10" s="1"/>
  <c r="B205" i="6" s="1"/>
  <c r="L98" i="10"/>
  <c r="N98" i="10" s="1"/>
  <c r="P102" i="10" s="1"/>
  <c r="B97" i="6" s="1"/>
  <c r="L76" i="10"/>
  <c r="N76" i="10" s="1"/>
  <c r="P80" i="10" s="1"/>
  <c r="B75" i="6" s="1"/>
  <c r="K226" i="10"/>
  <c r="N226" i="10" s="1"/>
  <c r="P230" i="10" s="1"/>
  <c r="B225" i="6" s="1"/>
  <c r="L148" i="10"/>
  <c r="N148" i="10" s="1"/>
  <c r="P152" i="10" s="1"/>
  <c r="B147" i="6" s="1"/>
  <c r="K61" i="10"/>
  <c r="N61" i="10" s="1"/>
  <c r="P65" i="10" s="1"/>
  <c r="B60" i="6" s="1"/>
  <c r="K152" i="10"/>
  <c r="N152" i="10" s="1"/>
  <c r="P156" i="10" s="1"/>
  <c r="B151" i="6" s="1"/>
  <c r="K196" i="10"/>
  <c r="N196" i="10" s="1"/>
  <c r="P200" i="10" s="1"/>
  <c r="B195" i="6" s="1"/>
  <c r="K9" i="10"/>
  <c r="L63" i="10"/>
  <c r="N63" i="10" s="1"/>
  <c r="P67" i="10" s="1"/>
  <c r="B62" i="6" s="1"/>
  <c r="K134" i="10"/>
  <c r="N134" i="10" s="1"/>
  <c r="P138" i="10" s="1"/>
  <c r="B133" i="6" s="1"/>
  <c r="L127" i="10"/>
  <c r="N127" i="10" s="1"/>
  <c r="P131" i="10" s="1"/>
  <c r="B126" i="6" s="1"/>
  <c r="L147" i="10"/>
  <c r="N147" i="10" s="1"/>
  <c r="P151" i="10" s="1"/>
  <c r="B146" i="6" s="1"/>
  <c r="L73" i="10"/>
  <c r="N73" i="10" s="1"/>
  <c r="P77" i="10" s="1"/>
  <c r="B72" i="6" s="1"/>
  <c r="K85" i="10"/>
  <c r="N85" i="10" s="1"/>
  <c r="P89" i="10" s="1"/>
  <c r="B84" i="6" s="1"/>
  <c r="L225" i="10"/>
  <c r="N225" i="10" s="1"/>
  <c r="P229" i="10" s="1"/>
  <c r="B224" i="6" s="1"/>
  <c r="L164" i="10"/>
  <c r="N164" i="10" s="1"/>
  <c r="P168" i="10" s="1"/>
  <c r="B163" i="6" s="1"/>
  <c r="K62" i="10"/>
  <c r="N62" i="10" s="1"/>
  <c r="P66" i="10" s="1"/>
  <c r="B61" i="6" s="1"/>
  <c r="L242" i="10"/>
  <c r="N242" i="10" s="1"/>
  <c r="P246" i="10" s="1"/>
  <c r="B241" i="6" s="1"/>
  <c r="K89" i="10"/>
  <c r="N89" i="10" s="1"/>
  <c r="P93" i="10" s="1"/>
  <c r="B88" i="6" s="1"/>
  <c r="K180" i="10"/>
  <c r="N180" i="10" s="1"/>
  <c r="P184" i="10" s="1"/>
  <c r="B179" i="6" s="1"/>
  <c r="K100" i="10"/>
  <c r="N100" i="10" s="1"/>
  <c r="P104" i="10" s="1"/>
  <c r="B99" i="6" s="1"/>
  <c r="L149" i="10"/>
  <c r="N149" i="10" s="1"/>
  <c r="P153" i="10" s="1"/>
  <c r="B148" i="6" s="1"/>
  <c r="K71" i="10"/>
  <c r="N71" i="10" s="1"/>
  <c r="P75" i="10" s="1"/>
  <c r="B70" i="6" s="1"/>
  <c r="K83" i="10"/>
  <c r="N83" i="10" s="1"/>
  <c r="P87" i="10" s="1"/>
  <c r="B82" i="6" s="1"/>
  <c r="K268" i="10"/>
  <c r="N268" i="10" s="1"/>
  <c r="P272" i="10" s="1"/>
  <c r="L181" i="10"/>
  <c r="N181" i="10" s="1"/>
  <c r="P185" i="10" s="1"/>
  <c r="B180" i="6" s="1"/>
  <c r="L99" i="10"/>
  <c r="N99" i="10" s="1"/>
  <c r="P103" i="10" s="1"/>
  <c r="B98" i="6" s="1"/>
  <c r="L220" i="10"/>
  <c r="N220" i="10" s="1"/>
  <c r="P224" i="10" s="1"/>
  <c r="B219" i="6" s="1"/>
  <c r="K154" i="10"/>
  <c r="N154" i="10" s="1"/>
  <c r="P158" i="10" s="1"/>
  <c r="B153" i="6" s="1"/>
  <c r="K93" i="10"/>
  <c r="N93" i="10" s="1"/>
  <c r="P97" i="10" s="1"/>
  <c r="B92" i="6" s="1"/>
  <c r="K123" i="10"/>
  <c r="N123" i="10" s="1"/>
  <c r="P127" i="10" s="1"/>
  <c r="B122" i="6" s="1"/>
  <c r="L124" i="10"/>
  <c r="N124" i="10" s="1"/>
  <c r="P128" i="10" s="1"/>
  <c r="B123" i="6" s="1"/>
  <c r="L129" i="10"/>
  <c r="N129" i="10" s="1"/>
  <c r="P133" i="10" s="1"/>
  <c r="B128" i="6" s="1"/>
  <c r="K69" i="10"/>
  <c r="N69" i="10" s="1"/>
  <c r="P73" i="10" s="1"/>
  <c r="B68" i="6" s="1"/>
  <c r="K90" i="10"/>
  <c r="N90" i="10" s="1"/>
  <c r="P94" i="10" s="1"/>
  <c r="B89" i="6" s="1"/>
  <c r="L185" i="10"/>
  <c r="N185" i="10" s="1"/>
  <c r="P189" i="10" s="1"/>
  <c r="B184" i="6" s="1"/>
  <c r="L82" i="10"/>
  <c r="N82" i="10" s="1"/>
  <c r="P86" i="10" s="1"/>
  <c r="B81" i="6" s="1"/>
  <c r="K67" i="10"/>
  <c r="N67" i="10" s="1"/>
  <c r="P71" i="10" s="1"/>
  <c r="B66" i="6" s="1"/>
  <c r="K121" i="10"/>
  <c r="N121" i="10" s="1"/>
  <c r="P125" i="10" s="1"/>
  <c r="B120" i="6" s="1"/>
  <c r="K125" i="10"/>
  <c r="N125" i="10" s="1"/>
  <c r="P129" i="10" s="1"/>
  <c r="B124" i="6" s="1"/>
  <c r="L194" i="10"/>
  <c r="N194" i="10" s="1"/>
  <c r="P198" i="10" s="1"/>
  <c r="B193" i="6" s="1"/>
  <c r="K265" i="10"/>
  <c r="N265" i="10" s="1"/>
  <c r="P269" i="10" s="1"/>
  <c r="B264" i="6" s="1"/>
  <c r="L96" i="10"/>
  <c r="N96" i="10" s="1"/>
  <c r="P100" i="10" s="1"/>
  <c r="B95" i="6" s="1"/>
  <c r="L110" i="10"/>
  <c r="N110" i="10" s="1"/>
  <c r="P114" i="10" s="1"/>
  <c r="B109" i="6" s="1"/>
  <c r="L142" i="10"/>
  <c r="N142" i="10" s="1"/>
  <c r="P146" i="10" s="1"/>
  <c r="B141" i="6" s="1"/>
  <c r="L184" i="10"/>
  <c r="N184" i="10" s="1"/>
  <c r="P188" i="10" s="1"/>
  <c r="B183" i="6" s="1"/>
  <c r="L119" i="10"/>
  <c r="N119" i="10" s="1"/>
  <c r="P123" i="10" s="1"/>
  <c r="B118" i="6" s="1"/>
  <c r="L232" i="10"/>
  <c r="N232" i="10" s="1"/>
  <c r="P236" i="10" s="1"/>
  <c r="B231" i="6" s="1"/>
  <c r="L80" i="10"/>
  <c r="N80" i="10" s="1"/>
  <c r="P84" i="10" s="1"/>
  <c r="B79" i="6" s="1"/>
  <c r="L251" i="10"/>
  <c r="N251" i="10" s="1"/>
  <c r="P255" i="10" s="1"/>
  <c r="B250" i="6" s="1"/>
  <c r="K170" i="10"/>
  <c r="N170" i="10" s="1"/>
  <c r="P174" i="10" s="1"/>
  <c r="B169" i="6" s="1"/>
  <c r="L112" i="10"/>
  <c r="N112" i="10" s="1"/>
  <c r="P116" i="10" s="1"/>
  <c r="B111" i="6" s="1"/>
  <c r="L92" i="10"/>
  <c r="N92" i="10" s="1"/>
  <c r="P96" i="10" s="1"/>
  <c r="B91" i="6" s="1"/>
  <c r="K105" i="10"/>
  <c r="N105" i="10" s="1"/>
  <c r="P109" i="10" s="1"/>
  <c r="B104" i="6" s="1"/>
  <c r="L145" i="10"/>
  <c r="N145" i="10" s="1"/>
  <c r="P149" i="10" s="1"/>
  <c r="B144" i="6" s="1"/>
  <c r="K174" i="10"/>
  <c r="N174" i="10" s="1"/>
  <c r="P178" i="10" s="1"/>
  <c r="B173" i="6" s="1"/>
  <c r="L87" i="10"/>
  <c r="N87" i="10" s="1"/>
  <c r="P91" i="10" s="1"/>
  <c r="B86" i="6" s="1"/>
  <c r="O209" i="10"/>
  <c r="Q213" i="10" s="1"/>
  <c r="C208" i="6" s="1"/>
  <c r="K70" i="10"/>
  <c r="N70" i="10" s="1"/>
  <c r="P74" i="10" s="1"/>
  <c r="B69" i="6" s="1"/>
  <c r="L205" i="10"/>
  <c r="N205" i="10" s="1"/>
  <c r="P209" i="10" s="1"/>
  <c r="B204" i="6" s="1"/>
  <c r="L103" i="10"/>
  <c r="N103" i="10" s="1"/>
  <c r="P107" i="10" s="1"/>
  <c r="B102" i="6" s="1"/>
  <c r="L95" i="10"/>
  <c r="N95" i="10" s="1"/>
  <c r="P99" i="10" s="1"/>
  <c r="B94" i="6" s="1"/>
  <c r="L94" i="10"/>
  <c r="N94" i="10" s="1"/>
  <c r="P98" i="10" s="1"/>
  <c r="B93" i="6" s="1"/>
  <c r="L122" i="10"/>
  <c r="N122" i="10" s="1"/>
  <c r="P126" i="10" s="1"/>
  <c r="B121" i="6" s="1"/>
  <c r="L252" i="10"/>
  <c r="N252" i="10" s="1"/>
  <c r="P256" i="10" s="1"/>
  <c r="B251" i="6" s="1"/>
  <c r="K137" i="10"/>
  <c r="N137" i="10" s="1"/>
  <c r="P141" i="10" s="1"/>
  <c r="B136" i="6" s="1"/>
  <c r="L161" i="10"/>
  <c r="N161" i="10" s="1"/>
  <c r="P165" i="10" s="1"/>
  <c r="B160" i="6" s="1"/>
  <c r="L165" i="10"/>
  <c r="N165" i="10" s="1"/>
  <c r="P169" i="10" s="1"/>
  <c r="B164" i="6" s="1"/>
  <c r="K118" i="10"/>
  <c r="N118" i="10" s="1"/>
  <c r="P122" i="10" s="1"/>
  <c r="B117" i="6" s="1"/>
  <c r="L169" i="10"/>
  <c r="N169" i="10" s="1"/>
  <c r="P173" i="10" s="1"/>
  <c r="B168" i="6" s="1"/>
  <c r="K126" i="10"/>
  <c r="N126" i="10" s="1"/>
  <c r="P130" i="10" s="1"/>
  <c r="B125" i="6" s="1"/>
  <c r="L231" i="10"/>
  <c r="N231" i="10" s="1"/>
  <c r="P235" i="10" s="1"/>
  <c r="B230" i="6" s="1"/>
  <c r="L106" i="10"/>
  <c r="N106" i="10" s="1"/>
  <c r="P110" i="10" s="1"/>
  <c r="B105" i="6" s="1"/>
  <c r="L186" i="10"/>
  <c r="N186" i="10" s="1"/>
  <c r="P190" i="10" s="1"/>
  <c r="B185" i="6" s="1"/>
  <c r="K72" i="10"/>
  <c r="N72" i="10" s="1"/>
  <c r="P76" i="10" s="1"/>
  <c r="B71" i="6" s="1"/>
  <c r="L189" i="10"/>
  <c r="N189" i="10" s="1"/>
  <c r="P193" i="10" s="1"/>
  <c r="B188" i="6" s="1"/>
  <c r="L168" i="10"/>
  <c r="N168" i="10" s="1"/>
  <c r="P172" i="10" s="1"/>
  <c r="B167" i="6" s="1"/>
  <c r="L167" i="10"/>
  <c r="N167" i="10" s="1"/>
  <c r="P171" i="10" s="1"/>
  <c r="B166" i="6" s="1"/>
  <c r="K78" i="10"/>
  <c r="N78" i="10" s="1"/>
  <c r="P82" i="10" s="1"/>
  <c r="B77" i="6" s="1"/>
  <c r="K264" i="10"/>
  <c r="N264" i="10" s="1"/>
  <c r="P268" i="10" s="1"/>
  <c r="B263" i="6" s="1"/>
  <c r="L64" i="10"/>
  <c r="N64" i="10" s="1"/>
  <c r="P68" i="10" s="1"/>
  <c r="B63" i="6" s="1"/>
  <c r="K249" i="10"/>
  <c r="N249" i="10" s="1"/>
  <c r="P253" i="10" s="1"/>
  <c r="B248" i="6" s="1"/>
  <c r="L84" i="10"/>
  <c r="N84" i="10" s="1"/>
  <c r="P88" i="10" s="1"/>
  <c r="B83" i="6" s="1"/>
  <c r="L155" i="10"/>
  <c r="N155" i="10" s="1"/>
  <c r="P159" i="10" s="1"/>
  <c r="B154" i="6" s="1"/>
  <c r="L267" i="10"/>
  <c r="N267" i="10" s="1"/>
  <c r="P271" i="10" s="1"/>
  <c r="L217" i="10"/>
  <c r="N217" i="10" s="1"/>
  <c r="P221" i="10" s="1"/>
  <c r="B216" i="6" s="1"/>
  <c r="K138" i="10"/>
  <c r="N138" i="10" s="1"/>
  <c r="P142" i="10" s="1"/>
  <c r="B137" i="6" s="1"/>
  <c r="K68" i="10"/>
  <c r="N68" i="10" s="1"/>
  <c r="P72" i="10" s="1"/>
  <c r="B67" i="6" s="1"/>
  <c r="K215" i="10"/>
  <c r="N215" i="10" s="1"/>
  <c r="P219" i="10" s="1"/>
  <c r="B214" i="6" s="1"/>
  <c r="L153" i="10"/>
  <c r="N153" i="10" s="1"/>
  <c r="P157" i="10" s="1"/>
  <c r="B152" i="6" s="1"/>
  <c r="L111" i="10"/>
  <c r="N111" i="10" s="1"/>
  <c r="P115" i="10" s="1"/>
  <c r="B110" i="6" s="1"/>
  <c r="K151" i="10"/>
  <c r="N151" i="10" s="1"/>
  <c r="P155" i="10" s="1"/>
  <c r="B150" i="6" s="1"/>
  <c r="L108" i="10"/>
  <c r="N108" i="10" s="1"/>
  <c r="P112" i="10" s="1"/>
  <c r="B107" i="6" s="1"/>
  <c r="L162" i="10"/>
  <c r="N162" i="10" s="1"/>
  <c r="P166" i="10" s="1"/>
  <c r="B161" i="6" s="1"/>
  <c r="L136" i="10"/>
  <c r="N136" i="10" s="1"/>
  <c r="P140" i="10" s="1"/>
  <c r="B135" i="6" s="1"/>
  <c r="K270" i="10"/>
  <c r="N270" i="10" s="1"/>
  <c r="P274" i="10" s="1"/>
  <c r="L91" i="10"/>
  <c r="N91" i="10" s="1"/>
  <c r="P95" i="10" s="1"/>
  <c r="B90" i="6" s="1"/>
  <c r="K216" i="10"/>
  <c r="N216" i="10" s="1"/>
  <c r="P220" i="10" s="1"/>
  <c r="B215" i="6" s="1"/>
  <c r="K163" i="10"/>
  <c r="N163" i="10" s="1"/>
  <c r="P167" i="10" s="1"/>
  <c r="B162" i="6" s="1"/>
  <c r="L74" i="10"/>
  <c r="N74" i="10" s="1"/>
  <c r="P78" i="10" s="1"/>
  <c r="B73" i="6" s="1"/>
  <c r="L177" i="10"/>
  <c r="N177" i="10" s="1"/>
  <c r="P181" i="10" s="1"/>
  <c r="B176" i="6" s="1"/>
  <c r="K199" i="10"/>
  <c r="N199" i="10" s="1"/>
  <c r="P203" i="10" s="1"/>
  <c r="B198" i="6" s="1"/>
  <c r="K221" i="10"/>
  <c r="N221" i="10" s="1"/>
  <c r="P225" i="10" s="1"/>
  <c r="B220" i="6" s="1"/>
  <c r="L176" i="10"/>
  <c r="N176" i="10" s="1"/>
  <c r="P180" i="10" s="1"/>
  <c r="B175" i="6" s="1"/>
  <c r="K222" i="10"/>
  <c r="N222" i="10" s="1"/>
  <c r="P226" i="10" s="1"/>
  <c r="B221" i="6" s="1"/>
  <c r="L190" i="10"/>
  <c r="N190" i="10" s="1"/>
  <c r="P194" i="10" s="1"/>
  <c r="B189" i="6" s="1"/>
  <c r="K191" i="10"/>
  <c r="N191" i="10" s="1"/>
  <c r="P195" i="10" s="1"/>
  <c r="B190" i="6" s="1"/>
  <c r="K200" i="10"/>
  <c r="N200" i="10" s="1"/>
  <c r="P204" i="10" s="1"/>
  <c r="B199" i="6" s="1"/>
  <c r="K209" i="10"/>
  <c r="N209" i="10" s="1"/>
  <c r="P213" i="10" s="1"/>
  <c r="B208" i="6" s="1"/>
  <c r="L193" i="10"/>
  <c r="N193" i="10" s="1"/>
  <c r="P197" i="10" s="1"/>
  <c r="B192" i="6" s="1"/>
  <c r="K236" i="10"/>
  <c r="N236" i="10" s="1"/>
  <c r="P240" i="10" s="1"/>
  <c r="B235" i="6" s="1"/>
  <c r="K81" i="10"/>
  <c r="N81" i="10" s="1"/>
  <c r="P85" i="10" s="1"/>
  <c r="B80" i="6" s="1"/>
  <c r="K235" i="10"/>
  <c r="N235" i="10" s="1"/>
  <c r="P239" i="10" s="1"/>
  <c r="B234" i="6" s="1"/>
  <c r="K223" i="10"/>
  <c r="N223" i="10" s="1"/>
  <c r="P227" i="10" s="1"/>
  <c r="B222" i="6" s="1"/>
  <c r="L258" i="10"/>
  <c r="N258" i="10" s="1"/>
  <c r="P262" i="10" s="1"/>
  <c r="B257" i="6" s="1"/>
  <c r="L188" i="10"/>
  <c r="N188" i="10" s="1"/>
  <c r="P192" i="10" s="1"/>
  <c r="B187" i="6" s="1"/>
  <c r="L253" i="10"/>
  <c r="N253" i="10" s="1"/>
  <c r="P257" i="10" s="1"/>
  <c r="B252" i="6" s="1"/>
  <c r="K204" i="10"/>
  <c r="N204" i="10" s="1"/>
  <c r="P208" i="10" s="1"/>
  <c r="B203" i="6" s="1"/>
  <c r="K237" i="10"/>
  <c r="N237" i="10" s="1"/>
  <c r="P241" i="10" s="1"/>
  <c r="B236" i="6" s="1"/>
  <c r="L172" i="10"/>
  <c r="N172" i="10" s="1"/>
  <c r="P176" i="10" s="1"/>
  <c r="B171" i="6" s="1"/>
  <c r="K260" i="10"/>
  <c r="N260" i="10" s="1"/>
  <c r="P264" i="10" s="1"/>
  <c r="B259" i="6" s="1"/>
  <c r="L182" i="10"/>
  <c r="N182" i="10" s="1"/>
  <c r="P186" i="10" s="1"/>
  <c r="B181" i="6" s="1"/>
  <c r="K247" i="10"/>
  <c r="N247" i="10" s="1"/>
  <c r="P251" i="10" s="1"/>
  <c r="B246" i="6" s="1"/>
  <c r="K183" i="10"/>
  <c r="N183" i="10" s="1"/>
  <c r="P187" i="10" s="1"/>
  <c r="B182" i="6" s="1"/>
  <c r="L227" i="10"/>
  <c r="N227" i="10" s="1"/>
  <c r="P231" i="10" s="1"/>
  <c r="B226" i="6" s="1"/>
  <c r="L178" i="10"/>
  <c r="N178" i="10" s="1"/>
  <c r="P182" i="10" s="1"/>
  <c r="B177" i="6" s="1"/>
  <c r="L156" i="10"/>
  <c r="N156" i="10" s="1"/>
  <c r="P160" i="10" s="1"/>
  <c r="B155" i="6" s="1"/>
  <c r="L203" i="10"/>
  <c r="N203" i="10" s="1"/>
  <c r="P207" i="10" s="1"/>
  <c r="B202" i="6" s="1"/>
  <c r="K160" i="10"/>
  <c r="N160" i="10" s="1"/>
  <c r="P164" i="10" s="1"/>
  <c r="B159" i="6" s="1"/>
  <c r="L144" i="10"/>
  <c r="N144" i="10" s="1"/>
  <c r="P148" i="10" s="1"/>
  <c r="B143" i="6" s="1"/>
  <c r="L210" i="10"/>
  <c r="N210" i="10" s="1"/>
  <c r="P214" i="10" s="1"/>
  <c r="B209" i="6" s="1"/>
  <c r="L244" i="10"/>
  <c r="N244" i="10" s="1"/>
  <c r="P248" i="10" s="1"/>
  <c r="B243" i="6" s="1"/>
  <c r="L159" i="10"/>
  <c r="N159" i="10" s="1"/>
  <c r="P163" i="10" s="1"/>
  <c r="B158" i="6" s="1"/>
  <c r="L202" i="10"/>
  <c r="N202" i="10" s="1"/>
  <c r="P206" i="10" s="1"/>
  <c r="B201" i="6" s="1"/>
  <c r="L139" i="10"/>
  <c r="N139" i="10" s="1"/>
  <c r="P143" i="10" s="1"/>
  <c r="B138" i="6" s="1"/>
  <c r="L263" i="10"/>
  <c r="N263" i="10" s="1"/>
  <c r="P267" i="10" s="1"/>
  <c r="B262" i="6" s="1"/>
  <c r="K113" i="10"/>
  <c r="N113" i="10" s="1"/>
  <c r="P117" i="10" s="1"/>
  <c r="B112" i="6" s="1"/>
  <c r="K254" i="10"/>
  <c r="N254" i="10" s="1"/>
  <c r="P258" i="10" s="1"/>
  <c r="B253" i="6" s="1"/>
  <c r="K261" i="10"/>
  <c r="N261" i="10" s="1"/>
  <c r="P265" i="10" s="1"/>
  <c r="B260" i="6" s="1"/>
  <c r="K259" i="10"/>
  <c r="N259" i="10" s="1"/>
  <c r="P263" i="10" s="1"/>
  <c r="B258" i="6" s="1"/>
  <c r="L158" i="10"/>
  <c r="N158" i="10" s="1"/>
  <c r="P162" i="10" s="1"/>
  <c r="B157" i="6" s="1"/>
  <c r="K269" i="10"/>
  <c r="N269" i="10" s="1"/>
  <c r="P273" i="10" s="1"/>
  <c r="L243" i="10"/>
  <c r="N243" i="10" s="1"/>
  <c r="P247" i="10" s="1"/>
  <c r="B242" i="6" s="1"/>
  <c r="L234" i="10"/>
  <c r="N234" i="10" s="1"/>
  <c r="P238" i="10" s="1"/>
  <c r="B233" i="6" s="1"/>
  <c r="K255" i="10"/>
  <c r="N255" i="10" s="1"/>
  <c r="P259" i="10" s="1"/>
  <c r="B254" i="6" s="1"/>
  <c r="K246" i="10"/>
  <c r="N246" i="10" s="1"/>
  <c r="P250" i="10" s="1"/>
  <c r="B245" i="6" s="1"/>
  <c r="K207" i="10"/>
  <c r="N207" i="10" s="1"/>
  <c r="P211" i="10" s="1"/>
  <c r="B206" i="6" s="1"/>
  <c r="K230" i="10"/>
  <c r="N230" i="10" s="1"/>
  <c r="P234" i="10" s="1"/>
  <c r="B229" i="6" s="1"/>
  <c r="K228" i="10"/>
  <c r="N228" i="10" s="1"/>
  <c r="P232" i="10" s="1"/>
  <c r="B227" i="6" s="1"/>
  <c r="L257" i="10"/>
  <c r="N257" i="10" s="1"/>
  <c r="P261" i="10" s="1"/>
  <c r="B256" i="6" s="1"/>
  <c r="K214" i="10"/>
  <c r="N214" i="10" s="1"/>
  <c r="P218" i="10" s="1"/>
  <c r="B213" i="6" s="1"/>
  <c r="K179" i="10"/>
  <c r="N179" i="10" s="1"/>
  <c r="P183" i="10" s="1"/>
  <c r="B178" i="6" s="1"/>
  <c r="K211" i="10"/>
  <c r="N211" i="10" s="1"/>
  <c r="P215" i="10" s="1"/>
  <c r="B210" i="6" s="1"/>
  <c r="L212" i="10"/>
  <c r="N212" i="10" s="1"/>
  <c r="P216" i="10" s="1"/>
  <c r="B211" i="6" s="1"/>
  <c r="K219" i="10"/>
  <c r="N219" i="10" s="1"/>
  <c r="P223" i="10" s="1"/>
  <c r="B218" i="6" s="1"/>
  <c r="K198" i="10"/>
  <c r="N198" i="10" s="1"/>
  <c r="P202" i="10" s="1"/>
  <c r="B197" i="6" s="1"/>
  <c r="K233" i="10"/>
  <c r="N233" i="10" s="1"/>
  <c r="P237" i="10" s="1"/>
  <c r="B232" i="6" s="1"/>
  <c r="O183" i="10"/>
  <c r="Q187" i="10" s="1"/>
  <c r="C182" i="6" s="1"/>
  <c r="K143" i="10"/>
  <c r="N143" i="10" s="1"/>
  <c r="P147" i="10" s="1"/>
  <c r="B142" i="6" s="1"/>
  <c r="K140" i="10"/>
  <c r="N140" i="10" s="1"/>
  <c r="P144" i="10" s="1"/>
  <c r="B139" i="6" s="1"/>
  <c r="L150" i="10"/>
  <c r="N150" i="10" s="1"/>
  <c r="P154" i="10" s="1"/>
  <c r="B149" i="6" s="1"/>
  <c r="O115" i="10"/>
  <c r="Q119" i="10" s="1"/>
  <c r="C114" i="6" s="1"/>
  <c r="K166" i="10"/>
  <c r="N166" i="10" s="1"/>
  <c r="P170" i="10" s="1"/>
  <c r="B165" i="6" s="1"/>
  <c r="O157" i="10"/>
  <c r="Q161" i="10" s="1"/>
  <c r="C156" i="6" s="1"/>
  <c r="O164" i="10"/>
  <c r="Q168" i="10" s="1"/>
  <c r="C163" i="6" s="1"/>
  <c r="K65" i="10"/>
  <c r="N65" i="10" s="1"/>
  <c r="P69" i="10" s="1"/>
  <c r="B64" i="6" s="1"/>
  <c r="O117" i="10"/>
  <c r="Q121" i="10" s="1"/>
  <c r="C116" i="6" s="1"/>
  <c r="K238" i="10"/>
  <c r="N238" i="10" s="1"/>
  <c r="P242" i="10" s="1"/>
  <c r="B237" i="6" s="1"/>
  <c r="L97" i="10"/>
  <c r="N97" i="10" s="1"/>
  <c r="P101" i="10" s="1"/>
  <c r="B96" i="6" s="1"/>
  <c r="K195" i="10"/>
  <c r="N195" i="10" s="1"/>
  <c r="P199" i="10" s="1"/>
  <c r="B194" i="6" s="1"/>
  <c r="L262" i="10"/>
  <c r="N262" i="10" s="1"/>
  <c r="P266" i="10" s="1"/>
  <c r="B261" i="6" s="1"/>
  <c r="K218" i="10"/>
  <c r="N218" i="10" s="1"/>
  <c r="P222" i="10" s="1"/>
  <c r="B217" i="6" s="1"/>
  <c r="O13" i="10"/>
  <c r="Q17" i="10" s="1"/>
  <c r="C12" i="6" s="1"/>
  <c r="O48" i="10"/>
  <c r="Q52" i="10" s="1"/>
  <c r="C47" i="6" s="1"/>
  <c r="O114" i="10"/>
  <c r="Q118" i="10" s="1"/>
  <c r="C113" i="6" s="1"/>
  <c r="L245" i="10"/>
  <c r="N245" i="10" s="1"/>
  <c r="P249" i="10" s="1"/>
  <c r="B244" i="6" s="1"/>
  <c r="K229" i="10"/>
  <c r="N229" i="10" s="1"/>
  <c r="P233" i="10" s="1"/>
  <c r="B228" i="6" s="1"/>
  <c r="O219" i="10"/>
  <c r="Q223" i="10" s="1"/>
  <c r="C218" i="6" s="1"/>
  <c r="L224" i="10"/>
  <c r="N224" i="10" s="1"/>
  <c r="P228" i="10" s="1"/>
  <c r="B223" i="6" s="1"/>
  <c r="K240" i="10"/>
  <c r="N240" i="10" s="1"/>
  <c r="P244" i="10" s="1"/>
  <c r="B239" i="6" s="1"/>
  <c r="O178" i="10"/>
  <c r="Q182" i="10" s="1"/>
  <c r="C177" i="6" s="1"/>
  <c r="K266" i="10"/>
  <c r="N266" i="10" s="1"/>
  <c r="P270" i="10" s="1"/>
  <c r="B265" i="6" s="1"/>
  <c r="K213" i="10"/>
  <c r="N213" i="10" s="1"/>
  <c r="P217" i="10" s="1"/>
  <c r="B212" i="6" s="1"/>
  <c r="O94" i="10"/>
  <c r="Q98" i="10" s="1"/>
  <c r="C93" i="6" s="1"/>
  <c r="K208" i="10"/>
  <c r="N208" i="10" s="1"/>
  <c r="P212" i="10" s="1"/>
  <c r="B207" i="6" s="1"/>
  <c r="K250" i="10"/>
  <c r="N250" i="10" s="1"/>
  <c r="P254" i="10" s="1"/>
  <c r="B249" i="6" s="1"/>
  <c r="K197" i="10"/>
  <c r="N197" i="10" s="1"/>
  <c r="P201" i="10" s="1"/>
  <c r="B196" i="6" s="1"/>
  <c r="K256" i="10"/>
  <c r="N256" i="10" s="1"/>
  <c r="P260" i="10" s="1"/>
  <c r="B255" i="6" s="1"/>
  <c r="O74" i="10"/>
  <c r="Q78" i="10" s="1"/>
  <c r="C73" i="6" s="1"/>
  <c r="K192" i="10"/>
  <c r="N192" i="10" s="1"/>
  <c r="P196" i="10" s="1"/>
  <c r="B191" i="6" s="1"/>
  <c r="O95" i="10"/>
  <c r="Q99" i="10" s="1"/>
  <c r="C94" i="6" s="1"/>
  <c r="O124" i="10"/>
  <c r="Q128" i="10" s="1"/>
  <c r="C123" i="6" s="1"/>
  <c r="O72" i="10"/>
  <c r="Q76" i="10" s="1"/>
  <c r="C71" i="6" s="1"/>
  <c r="O44" i="10"/>
  <c r="Q48" i="10" s="1"/>
  <c r="C43" i="6" s="1"/>
  <c r="O108" i="10"/>
  <c r="Q112" i="10" s="1"/>
  <c r="C107" i="6" s="1"/>
  <c r="O153" i="10"/>
  <c r="Q157" i="10" s="1"/>
  <c r="C152" i="6" s="1"/>
  <c r="O106" i="10"/>
  <c r="Q110" i="10" s="1"/>
  <c r="C105" i="6" s="1"/>
  <c r="N52" i="10"/>
  <c r="P56" i="10" s="1"/>
  <c r="B51" i="6" s="1"/>
  <c r="O43" i="10"/>
  <c r="Q47" i="10" s="1"/>
  <c r="C42" i="6" s="1"/>
  <c r="O57" i="10"/>
  <c r="Q61" i="10" s="1"/>
  <c r="C56" i="6" s="1"/>
  <c r="O18" i="10"/>
  <c r="Q22" i="10" s="1"/>
  <c r="C17" i="6" s="1"/>
  <c r="O259" i="10"/>
  <c r="Q263" i="10" s="1"/>
  <c r="C258" i="6" s="1"/>
  <c r="N31" i="10"/>
  <c r="P35" i="10" s="1"/>
  <c r="B30" i="6" s="1"/>
  <c r="O204" i="10"/>
  <c r="Q208" i="10" s="1"/>
  <c r="C203" i="6" s="1"/>
  <c r="O170" i="10"/>
  <c r="Q174" i="10" s="1"/>
  <c r="C169" i="6" s="1"/>
  <c r="O256" i="10"/>
  <c r="Q260" i="10" s="1"/>
  <c r="C255" i="6" s="1"/>
  <c r="O241" i="10"/>
  <c r="Q245" i="10" s="1"/>
  <c r="C240" i="6" s="1"/>
  <c r="O15" i="10"/>
  <c r="Q19" i="10" s="1"/>
  <c r="C14" i="6" s="1"/>
  <c r="O257" i="10"/>
  <c r="Q261" i="10" s="1"/>
  <c r="C256" i="6" s="1"/>
  <c r="O247" i="10"/>
  <c r="Q251" i="10" s="1"/>
  <c r="C246" i="6" s="1"/>
  <c r="O163" i="10"/>
  <c r="Q167" i="10" s="1"/>
  <c r="C162" i="6" s="1"/>
  <c r="N27" i="10"/>
  <c r="P31" i="10" s="1"/>
  <c r="B26" i="6" s="1"/>
  <c r="O154" i="10"/>
  <c r="Q158" i="10" s="1"/>
  <c r="C153" i="6" s="1"/>
  <c r="O86" i="10"/>
  <c r="Q90" i="10" s="1"/>
  <c r="C85" i="6" s="1"/>
  <c r="O87" i="10"/>
  <c r="Q91" i="10" s="1"/>
  <c r="C86" i="6" s="1"/>
  <c r="O216" i="10"/>
  <c r="Q220" i="10" s="1"/>
  <c r="C215" i="6" s="1"/>
  <c r="O140" i="10"/>
  <c r="Q144" i="10" s="1"/>
  <c r="C139" i="6" s="1"/>
  <c r="O11" i="10"/>
  <c r="Q15" i="10" s="1"/>
  <c r="C10" i="6" s="1"/>
  <c r="O107" i="10"/>
  <c r="Q111" i="10" s="1"/>
  <c r="C106" i="6" s="1"/>
  <c r="O62" i="10"/>
  <c r="Q66" i="10" s="1"/>
  <c r="C61" i="6" s="1"/>
  <c r="O70" i="10"/>
  <c r="Q74" i="10" s="1"/>
  <c r="C69" i="6" s="1"/>
  <c r="N50" i="10"/>
  <c r="P54" i="10" s="1"/>
  <c r="B49" i="6" s="1"/>
  <c r="O110" i="10"/>
  <c r="Q114" i="10" s="1"/>
  <c r="C109" i="6" s="1"/>
  <c r="O168" i="10"/>
  <c r="Q172" i="10" s="1"/>
  <c r="C167" i="6" s="1"/>
  <c r="O215" i="10"/>
  <c r="Q219" i="10" s="1"/>
  <c r="C214" i="6" s="1"/>
  <c r="O25" i="10"/>
  <c r="Q29" i="10" s="1"/>
  <c r="C24" i="6" s="1"/>
  <c r="O224" i="10"/>
  <c r="Q228" i="10" s="1"/>
  <c r="C223" i="6" s="1"/>
  <c r="O198" i="10"/>
  <c r="Q202" i="10" s="1"/>
  <c r="C197" i="6" s="1"/>
  <c r="O236" i="10"/>
  <c r="Q240" i="10" s="1"/>
  <c r="C235" i="6" s="1"/>
  <c r="O180" i="10"/>
  <c r="Q184" i="10" s="1"/>
  <c r="C179" i="6" s="1"/>
  <c r="O36" i="10"/>
  <c r="Q40" i="10" s="1"/>
  <c r="C35" i="6" s="1"/>
  <c r="O64" i="10"/>
  <c r="Q68" i="10" s="1"/>
  <c r="C63" i="6" s="1"/>
  <c r="O144" i="10"/>
  <c r="Q148" i="10" s="1"/>
  <c r="C143" i="6" s="1"/>
  <c r="O91" i="10"/>
  <c r="Q95" i="10" s="1"/>
  <c r="C90" i="6" s="1"/>
  <c r="O129" i="10"/>
  <c r="Q133" i="10" s="1"/>
  <c r="C128" i="6" s="1"/>
  <c r="O58" i="10"/>
  <c r="Q62" i="10" s="1"/>
  <c r="C57" i="6" s="1"/>
  <c r="O79" i="10"/>
  <c r="Q83" i="10" s="1"/>
  <c r="C78" i="6" s="1"/>
  <c r="N51" i="10"/>
  <c r="P55" i="10" s="1"/>
  <c r="B50" i="6" s="1"/>
  <c r="O141" i="10"/>
  <c r="Q145" i="10" s="1"/>
  <c r="C140" i="6" s="1"/>
  <c r="O113" i="10"/>
  <c r="Q117" i="10" s="1"/>
  <c r="C112" i="6" s="1"/>
  <c r="O98" i="10"/>
  <c r="Q102" i="10" s="1"/>
  <c r="C97" i="6" s="1"/>
  <c r="O125" i="10"/>
  <c r="Q129" i="10" s="1"/>
  <c r="C124" i="6" s="1"/>
  <c r="O194" i="10"/>
  <c r="Q198" i="10" s="1"/>
  <c r="C193" i="6" s="1"/>
  <c r="O174" i="10"/>
  <c r="Q178" i="10" s="1"/>
  <c r="C173" i="6" s="1"/>
  <c r="O240" i="10"/>
  <c r="Q244" i="10" s="1"/>
  <c r="C239" i="6" s="1"/>
  <c r="O202" i="10"/>
  <c r="Q206" i="10" s="1"/>
  <c r="C201" i="6" s="1"/>
  <c r="N32" i="10"/>
  <c r="P36" i="10" s="1"/>
  <c r="B31" i="6" s="1"/>
  <c r="O211" i="10"/>
  <c r="Q215" i="10" s="1"/>
  <c r="C210" i="6" s="1"/>
  <c r="O192" i="10"/>
  <c r="Q196" i="10" s="1"/>
  <c r="C191" i="6" s="1"/>
  <c r="O212" i="10"/>
  <c r="Q216" i="10" s="1"/>
  <c r="C211" i="6" s="1"/>
  <c r="O128" i="10"/>
  <c r="Q132" i="10" s="1"/>
  <c r="C127" i="6" s="1"/>
  <c r="O232" i="10"/>
  <c r="Q236" i="10" s="1"/>
  <c r="C231" i="6" s="1"/>
  <c r="O54" i="10"/>
  <c r="Q58" i="10" s="1"/>
  <c r="C53" i="6" s="1"/>
  <c r="O191" i="10"/>
  <c r="Q195" i="10" s="1"/>
  <c r="C190" i="6" s="1"/>
  <c r="O147" i="10"/>
  <c r="Q151" i="10" s="1"/>
  <c r="C146" i="6" s="1"/>
  <c r="O63" i="10"/>
  <c r="Q67" i="10" s="1"/>
  <c r="C62" i="6" s="1"/>
  <c r="O67" i="10"/>
  <c r="Q71" i="10" s="1"/>
  <c r="C66" i="6" s="1"/>
  <c r="O139" i="10"/>
  <c r="Q143" i="10" s="1"/>
  <c r="C138" i="6" s="1"/>
  <c r="O121" i="10"/>
  <c r="Q125" i="10" s="1"/>
  <c r="C120" i="6" s="1"/>
  <c r="O134" i="10"/>
  <c r="Q138" i="10" s="1"/>
  <c r="C133" i="6" s="1"/>
  <c r="O27" i="10"/>
  <c r="Q31" i="10" s="1"/>
  <c r="C26" i="6" s="1"/>
  <c r="O233" i="10"/>
  <c r="Q237" i="10" s="1"/>
  <c r="C232" i="6" s="1"/>
  <c r="O105" i="10"/>
  <c r="Q109" i="10" s="1"/>
  <c r="C104" i="6" s="1"/>
  <c r="O26" i="10"/>
  <c r="Q30" i="10" s="1"/>
  <c r="C25" i="6" s="1"/>
  <c r="O237" i="10"/>
  <c r="Q241" i="10" s="1"/>
  <c r="C236" i="6" s="1"/>
  <c r="O196" i="10"/>
  <c r="Q200" i="10" s="1"/>
  <c r="C195" i="6" s="1"/>
  <c r="O123" i="10"/>
  <c r="Q127" i="10" s="1"/>
  <c r="C122" i="6" s="1"/>
  <c r="O260" i="10"/>
  <c r="Q264" i="10" s="1"/>
  <c r="C259" i="6" s="1"/>
  <c r="O111" i="10"/>
  <c r="Q115" i="10" s="1"/>
  <c r="C110" i="6" s="1"/>
  <c r="O42" i="10"/>
  <c r="Q46" i="10" s="1"/>
  <c r="C41" i="6" s="1"/>
  <c r="O132" i="10"/>
  <c r="Q136" i="10" s="1"/>
  <c r="C131" i="6" s="1"/>
  <c r="O130" i="10"/>
  <c r="Q134" i="10" s="1"/>
  <c r="C129" i="6" s="1"/>
  <c r="O265" i="10"/>
  <c r="Q269" i="10" s="1"/>
  <c r="C264" i="6" s="1"/>
  <c r="O214" i="10"/>
  <c r="Q218" i="10" s="1"/>
  <c r="C213" i="6" s="1"/>
  <c r="O143" i="10"/>
  <c r="Q147" i="10" s="1"/>
  <c r="C142" i="6" s="1"/>
  <c r="O200" i="10"/>
  <c r="Q204" i="10" s="1"/>
  <c r="C199" i="6" s="1"/>
  <c r="O263" i="10"/>
  <c r="Q267" i="10" s="1"/>
  <c r="C262" i="6" s="1"/>
  <c r="O38" i="10"/>
  <c r="Q42" i="10" s="1"/>
  <c r="C37" i="6" s="1"/>
  <c r="O109" i="10"/>
  <c r="Q113" i="10" s="1"/>
  <c r="C108" i="6" s="1"/>
  <c r="O155" i="10"/>
  <c r="Q159" i="10" s="1"/>
  <c r="C154" i="6" s="1"/>
  <c r="O151" i="10"/>
  <c r="Q155" i="10" s="1"/>
  <c r="C150" i="6" s="1"/>
  <c r="O138" i="10"/>
  <c r="Q142" i="10" s="1"/>
  <c r="C137" i="6" s="1"/>
  <c r="O116" i="10"/>
  <c r="Q120" i="10" s="1"/>
  <c r="C115" i="6" s="1"/>
  <c r="O252" i="10"/>
  <c r="Q256" i="10" s="1"/>
  <c r="C251" i="6" s="1"/>
  <c r="O104" i="10"/>
  <c r="Q108" i="10" s="1"/>
  <c r="C103" i="6" s="1"/>
  <c r="O229" i="10"/>
  <c r="Q233" i="10" s="1"/>
  <c r="C228" i="6" s="1"/>
  <c r="N23" i="10"/>
  <c r="P27" i="10" s="1"/>
  <c r="B22" i="6" s="1"/>
  <c r="O89" i="10"/>
  <c r="Q93" i="10" s="1"/>
  <c r="C88" i="6" s="1"/>
  <c r="N15" i="10"/>
  <c r="P19" i="10" s="1"/>
  <c r="B14" i="6" s="1"/>
  <c r="N201" i="10"/>
  <c r="P205" i="10" s="1"/>
  <c r="B200" i="6" s="1"/>
  <c r="O221" i="10"/>
  <c r="Q225" i="10" s="1"/>
  <c r="C220" i="6" s="1"/>
  <c r="O201" i="10"/>
  <c r="Q205" i="10" s="1"/>
  <c r="C200" i="6" s="1"/>
  <c r="O76" i="10"/>
  <c r="Q80" i="10" s="1"/>
  <c r="C75" i="6" s="1"/>
  <c r="O165" i="10"/>
  <c r="Q169" i="10" s="1"/>
  <c r="C164" i="6" s="1"/>
  <c r="O96" i="10"/>
  <c r="Q100" i="10" s="1"/>
  <c r="C95" i="6" s="1"/>
  <c r="N46" i="10"/>
  <c r="P50" i="10" s="1"/>
  <c r="B45" i="6" s="1"/>
  <c r="O187" i="10"/>
  <c r="Q191" i="10" s="1"/>
  <c r="C186" i="6" s="1"/>
  <c r="O120" i="10"/>
  <c r="Q124" i="10" s="1"/>
  <c r="C119" i="6" s="1"/>
  <c r="O254" i="10"/>
  <c r="Q258" i="10" s="1"/>
  <c r="C253" i="6" s="1"/>
  <c r="O28" i="10"/>
  <c r="Q32" i="10" s="1"/>
  <c r="C27" i="6" s="1"/>
  <c r="O142" i="10"/>
  <c r="Q146" i="10" s="1"/>
  <c r="C141" i="6" s="1"/>
  <c r="N40" i="10"/>
  <c r="P44" i="10" s="1"/>
  <c r="B39" i="6" s="1"/>
  <c r="O39" i="10"/>
  <c r="Q43" i="10" s="1"/>
  <c r="C38" i="6" s="1"/>
  <c r="O73" i="10"/>
  <c r="Q77" i="10" s="1"/>
  <c r="C72" i="6" s="1"/>
  <c r="N14" i="10"/>
  <c r="P18" i="10" s="1"/>
  <c r="B13" i="6" s="1"/>
  <c r="O223" i="10"/>
  <c r="Q227" i="10" s="1"/>
  <c r="C222" i="6" s="1"/>
  <c r="N55" i="10"/>
  <c r="P59" i="10" s="1"/>
  <c r="B54" i="6" s="1"/>
  <c r="O80" i="10"/>
  <c r="Q84" i="10" s="1"/>
  <c r="C79" i="6" s="1"/>
  <c r="O206" i="10"/>
  <c r="Q210" i="10" s="1"/>
  <c r="C205" i="6" s="1"/>
  <c r="O65" i="10"/>
  <c r="Q69" i="10" s="1"/>
  <c r="C64" i="6" s="1"/>
  <c r="O29" i="10"/>
  <c r="Q33" i="10" s="1"/>
  <c r="C28" i="6" s="1"/>
  <c r="O52" i="10"/>
  <c r="Q56" i="10" s="1"/>
  <c r="C51" i="6" s="1"/>
  <c r="O17" i="10"/>
  <c r="Q21" i="10" s="1"/>
  <c r="C16" i="6" s="1"/>
  <c r="O156" i="10"/>
  <c r="Q160" i="10" s="1"/>
  <c r="C155" i="6" s="1"/>
  <c r="O84" i="10"/>
  <c r="Q88" i="10" s="1"/>
  <c r="C83" i="6" s="1"/>
  <c r="O122" i="10"/>
  <c r="Q126" i="10" s="1"/>
  <c r="C121" i="6" s="1"/>
  <c r="O68" i="10"/>
  <c r="Q72" i="10" s="1"/>
  <c r="C67" i="6" s="1"/>
  <c r="O258" i="10"/>
  <c r="Q262" i="10" s="1"/>
  <c r="C257" i="6" s="1"/>
  <c r="O31" i="10"/>
  <c r="Q35" i="10" s="1"/>
  <c r="C30" i="6" s="1"/>
  <c r="O171" i="10"/>
  <c r="Q175" i="10" s="1"/>
  <c r="C170" i="6" s="1"/>
  <c r="O46" i="10"/>
  <c r="Q50" i="10" s="1"/>
  <c r="C45" i="6" s="1"/>
  <c r="O59" i="10"/>
  <c r="Q63" i="10" s="1"/>
  <c r="C58" i="6" s="1"/>
  <c r="O41" i="10"/>
  <c r="Q45" i="10" s="1"/>
  <c r="C40" i="6" s="1"/>
  <c r="O210" i="10"/>
  <c r="Q214" i="10" s="1"/>
  <c r="C209" i="6" s="1"/>
  <c r="O179" i="10"/>
  <c r="Q183" i="10" s="1"/>
  <c r="C178" i="6" s="1"/>
  <c r="O185" i="10"/>
  <c r="Q189" i="10" s="1"/>
  <c r="C184" i="6" s="1"/>
  <c r="O246" i="10"/>
  <c r="Q250" i="10" s="1"/>
  <c r="C245" i="6" s="1"/>
  <c r="O228" i="10"/>
  <c r="Q232" i="10" s="1"/>
  <c r="C227" i="6" s="1"/>
  <c r="O21" i="10"/>
  <c r="Q25" i="10" s="1"/>
  <c r="C20" i="6" s="1"/>
  <c r="O217" i="10"/>
  <c r="Q221" i="10" s="1"/>
  <c r="C216" i="6" s="1"/>
  <c r="O53" i="10"/>
  <c r="Q57" i="10" s="1"/>
  <c r="C52" i="6" s="1"/>
  <c r="N19" i="10"/>
  <c r="P23" i="10" s="1"/>
  <c r="B18" i="6" s="1"/>
  <c r="O188" i="10"/>
  <c r="Q192" i="10" s="1"/>
  <c r="C187" i="6" s="1"/>
  <c r="N22" i="10"/>
  <c r="P26" i="10" s="1"/>
  <c r="B21" i="6" s="1"/>
  <c r="O197" i="10"/>
  <c r="Q201" i="10" s="1"/>
  <c r="C196" i="6" s="1"/>
  <c r="O30" i="10"/>
  <c r="Q34" i="10" s="1"/>
  <c r="C29" i="6" s="1"/>
  <c r="O32" i="10"/>
  <c r="Q36" i="10" s="1"/>
  <c r="C31" i="6" s="1"/>
  <c r="O12" i="10"/>
  <c r="Q16" i="10" s="1"/>
  <c r="C11" i="6" s="1"/>
  <c r="O238" i="10"/>
  <c r="Q242" i="10" s="1"/>
  <c r="C237" i="6" s="1"/>
  <c r="O135" i="10"/>
  <c r="Q139" i="10" s="1"/>
  <c r="C134" i="6" s="1"/>
  <c r="O270" i="10"/>
  <c r="Q274" i="10" s="1"/>
  <c r="O60" i="10"/>
  <c r="Q64" i="10" s="1"/>
  <c r="C59" i="6" s="1"/>
  <c r="O190" i="10"/>
  <c r="Q194" i="10" s="1"/>
  <c r="C189" i="6" s="1"/>
  <c r="O61" i="10"/>
  <c r="Q65" i="10" s="1"/>
  <c r="C60" i="6" s="1"/>
  <c r="O69" i="10"/>
  <c r="Q73" i="10" s="1"/>
  <c r="C68" i="6" s="1"/>
  <c r="O85" i="10"/>
  <c r="Q89" i="10" s="1"/>
  <c r="C84" i="6" s="1"/>
  <c r="O253" i="10"/>
  <c r="Q257" i="10" s="1"/>
  <c r="C252" i="6" s="1"/>
  <c r="O231" i="10"/>
  <c r="Q235" i="10" s="1"/>
  <c r="C230" i="6" s="1"/>
  <c r="O126" i="10"/>
  <c r="Q130" i="10" s="1"/>
  <c r="C125" i="6" s="1"/>
  <c r="O175" i="10"/>
  <c r="Q179" i="10" s="1"/>
  <c r="C174" i="6" s="1"/>
  <c r="O77" i="10"/>
  <c r="Q81" i="10" s="1"/>
  <c r="C76" i="6" s="1"/>
  <c r="N131" i="10"/>
  <c r="P135" i="10" s="1"/>
  <c r="B130" i="6" s="1"/>
  <c r="O49" i="10"/>
  <c r="Q53" i="10" s="1"/>
  <c r="C48" i="6" s="1"/>
  <c r="O245" i="10"/>
  <c r="Q249" i="10" s="1"/>
  <c r="C244" i="6" s="1"/>
  <c r="O88" i="10"/>
  <c r="Q92" i="10" s="1"/>
  <c r="C87" i="6" s="1"/>
  <c r="O227" i="10"/>
  <c r="Q231" i="10" s="1"/>
  <c r="C226" i="6" s="1"/>
  <c r="O264" i="10"/>
  <c r="Q268" i="10" s="1"/>
  <c r="C263" i="6" s="1"/>
  <c r="O9" i="10"/>
  <c r="Q13" i="10" s="1"/>
  <c r="C8" i="6" s="1"/>
  <c r="O249" i="10"/>
  <c r="Q253" i="10" s="1"/>
  <c r="C248" i="6" s="1"/>
  <c r="O162" i="10"/>
  <c r="Q166" i="10" s="1"/>
  <c r="C161" i="6" s="1"/>
  <c r="O20" i="10"/>
  <c r="Q24" i="10" s="1"/>
  <c r="C19" i="6" s="1"/>
  <c r="O250" i="10"/>
  <c r="Q254" i="10" s="1"/>
  <c r="C249" i="6" s="1"/>
  <c r="O266" i="10"/>
  <c r="Q270" i="10" s="1"/>
  <c r="C265" i="6" s="1"/>
  <c r="O131" i="10"/>
  <c r="Q135" i="10" s="1"/>
  <c r="C130" i="6" s="1"/>
  <c r="O81" i="10"/>
  <c r="Q85" i="10" s="1"/>
  <c r="C80" i="6" s="1"/>
  <c r="N24" i="10"/>
  <c r="P28" i="10" s="1"/>
  <c r="B23" i="6" s="1"/>
  <c r="O56" i="10"/>
  <c r="Q60" i="10" s="1"/>
  <c r="C55" i="6" s="1"/>
  <c r="O193" i="10"/>
  <c r="Q197" i="10" s="1"/>
  <c r="C192" i="6" s="1"/>
  <c r="O218" i="10"/>
  <c r="Q222" i="10" s="1"/>
  <c r="C217" i="6" s="1"/>
  <c r="N54" i="10"/>
  <c r="P58" i="10" s="1"/>
  <c r="B53" i="6" s="1"/>
  <c r="O66" i="10"/>
  <c r="Q70" i="10" s="1"/>
  <c r="C65" i="6" s="1"/>
  <c r="O37" i="10"/>
  <c r="Q41" i="10" s="1"/>
  <c r="C36" i="6" s="1"/>
  <c r="O173" i="10"/>
  <c r="Q177" i="10" s="1"/>
  <c r="C172" i="6" s="1"/>
  <c r="O100" i="10"/>
  <c r="Q104" i="10" s="1"/>
  <c r="C99" i="6" s="1"/>
  <c r="O148" i="10"/>
  <c r="Q152" i="10" s="1"/>
  <c r="C147" i="6" s="1"/>
  <c r="O172" i="10"/>
  <c r="Q176" i="10" s="1"/>
  <c r="C171" i="6" s="1"/>
  <c r="O10" i="10"/>
  <c r="Q14" i="10" s="1"/>
  <c r="C9" i="6" s="1"/>
  <c r="O177" i="10"/>
  <c r="Q181" i="10" s="1"/>
  <c r="C176" i="6" s="1"/>
  <c r="O261" i="10"/>
  <c r="Q265" i="10" s="1"/>
  <c r="C260" i="6" s="1"/>
  <c r="O78" i="10"/>
  <c r="Q82" i="10" s="1"/>
  <c r="C77" i="6" s="1"/>
  <c r="O269" i="10"/>
  <c r="Q273" i="10" s="1"/>
  <c r="N39" i="10"/>
  <c r="P43" i="10" s="1"/>
  <c r="B38" i="6" s="1"/>
  <c r="O181" i="10"/>
  <c r="Q185" i="10" s="1"/>
  <c r="C180" i="6" s="1"/>
  <c r="O226" i="10"/>
  <c r="Q230" i="10" s="1"/>
  <c r="C225" i="6" s="1"/>
  <c r="N16" i="10"/>
  <c r="P20" i="10" s="1"/>
  <c r="B15" i="6" s="1"/>
  <c r="O248" i="10"/>
  <c r="Q252" i="10" s="1"/>
  <c r="C247" i="6" s="1"/>
  <c r="O35" i="10"/>
  <c r="Q39" i="10" s="1"/>
  <c r="C34" i="6" s="1"/>
  <c r="O103" i="10"/>
  <c r="Q107" i="10" s="1"/>
  <c r="C102" i="6" s="1"/>
  <c r="N133" i="10"/>
  <c r="P137" i="10" s="1"/>
  <c r="B132" i="6" s="1"/>
  <c r="O222" i="10"/>
  <c r="Q226" i="10" s="1"/>
  <c r="C221" i="6" s="1"/>
  <c r="O242" i="10"/>
  <c r="Q246" i="10" s="1"/>
  <c r="C241" i="6" s="1"/>
  <c r="O207" i="10"/>
  <c r="Q211" i="10" s="1"/>
  <c r="C206" i="6" s="1"/>
  <c r="O167" i="10"/>
  <c r="Q171" i="10" s="1"/>
  <c r="C166" i="6" s="1"/>
  <c r="O14" i="10"/>
  <c r="Q18" i="10" s="1"/>
  <c r="C13" i="6" s="1"/>
  <c r="O203" i="10"/>
  <c r="Q207" i="10" s="1"/>
  <c r="C202" i="6" s="1"/>
  <c r="O45" i="10"/>
  <c r="Q49" i="10" s="1"/>
  <c r="C44" i="6" s="1"/>
  <c r="O112" i="10"/>
  <c r="Q116" i="10" s="1"/>
  <c r="C111" i="6" s="1"/>
  <c r="O208" i="10"/>
  <c r="Q212" i="10" s="1"/>
  <c r="C207" i="6" s="1"/>
  <c r="O213" i="10"/>
  <c r="Q217" i="10" s="1"/>
  <c r="C212" i="6" s="1"/>
  <c r="O133" i="10"/>
  <c r="Q137" i="10" s="1"/>
  <c r="C132" i="6" s="1"/>
  <c r="O189" i="10"/>
  <c r="Q193" i="10" s="1"/>
  <c r="C188" i="6" s="1"/>
  <c r="O93" i="10"/>
  <c r="Q97" i="10" s="1"/>
  <c r="C92" i="6" s="1"/>
  <c r="O137" i="10"/>
  <c r="Q141" i="10" s="1"/>
  <c r="C136" i="6" s="1"/>
  <c r="O267" i="10"/>
  <c r="Q271" i="10" s="1"/>
  <c r="O50" i="10"/>
  <c r="Q54" i="10" s="1"/>
  <c r="C49" i="6" s="1"/>
  <c r="O243" i="10"/>
  <c r="Q247" i="10" s="1"/>
  <c r="C242" i="6" s="1"/>
  <c r="O33" i="10"/>
  <c r="Q37" i="10" s="1"/>
  <c r="C32" i="6" s="1"/>
  <c r="O83" i="10"/>
  <c r="Q87" i="10" s="1"/>
  <c r="C82" i="6" s="1"/>
  <c r="O186" i="10"/>
  <c r="Q190" i="10" s="1"/>
  <c r="C185" i="6" s="1"/>
  <c r="O255" i="10"/>
  <c r="Q259" i="10" s="1"/>
  <c r="C254" i="6" s="1"/>
  <c r="O102" i="10"/>
  <c r="Q106" i="10" s="1"/>
  <c r="C101" i="6" s="1"/>
  <c r="O101" i="10"/>
  <c r="Q105" i="10" s="1"/>
  <c r="C100" i="6" s="1"/>
  <c r="N116" i="10"/>
  <c r="P120" i="10" s="1"/>
  <c r="B115" i="6" s="1"/>
  <c r="O244" i="10"/>
  <c r="Q248" i="10" s="1"/>
  <c r="C243" i="6" s="1"/>
  <c r="O184" i="10"/>
  <c r="Q188" i="10" s="1"/>
  <c r="C183" i="6" s="1"/>
  <c r="O75" i="10"/>
  <c r="Q79" i="10" s="1"/>
  <c r="C74" i="6" s="1"/>
  <c r="O234" i="10"/>
  <c r="Q238" i="10" s="1"/>
  <c r="C233" i="6" s="1"/>
  <c r="O251" i="10"/>
  <c r="Q255" i="10" s="1"/>
  <c r="C250" i="6" s="1"/>
  <c r="O16" i="10"/>
  <c r="Q20" i="10" s="1"/>
  <c r="C15" i="6" s="1"/>
  <c r="O176" i="10"/>
  <c r="Q180" i="10" s="1"/>
  <c r="C175" i="6" s="1"/>
  <c r="O118" i="10"/>
  <c r="Q122" i="10" s="1"/>
  <c r="C117" i="6" s="1"/>
  <c r="N45" i="10"/>
  <c r="P49" i="10" s="1"/>
  <c r="B44" i="6" s="1"/>
  <c r="O225" i="10"/>
  <c r="Q229" i="10" s="1"/>
  <c r="C224" i="6" s="1"/>
  <c r="O268" i="10"/>
  <c r="Q272" i="10" s="1"/>
  <c r="O51" i="10"/>
  <c r="Q55" i="10" s="1"/>
  <c r="C50" i="6" s="1"/>
  <c r="N36" i="10"/>
  <c r="P40" i="10" s="1"/>
  <c r="B35" i="6" s="1"/>
  <c r="O24" i="10"/>
  <c r="Q28" i="10" s="1"/>
  <c r="C23" i="6" s="1"/>
  <c r="O55" i="10"/>
  <c r="Q59" i="10" s="1"/>
  <c r="C54" i="6" s="1"/>
  <c r="O90" i="10"/>
  <c r="Q94" i="10" s="1"/>
  <c r="C89" i="6" s="1"/>
  <c r="O239" i="10"/>
  <c r="Q243" i="10" s="1"/>
  <c r="C238" i="6" s="1"/>
  <c r="O127" i="10"/>
  <c r="Q131" i="10" s="1"/>
  <c r="C126" i="6" s="1"/>
  <c r="O146" i="10"/>
  <c r="Q150" i="10" s="1"/>
  <c r="C145" i="6" s="1"/>
  <c r="O159" i="10"/>
  <c r="Q163" i="10" s="1"/>
  <c r="C158" i="6" s="1"/>
  <c r="N86" i="10"/>
  <c r="P90" i="10" s="1"/>
  <c r="B85" i="6" s="1"/>
  <c r="O182" i="10"/>
  <c r="Q186" i="10" s="1"/>
  <c r="C181" i="6" s="1"/>
  <c r="O40" i="10"/>
  <c r="Q44" i="10" s="1"/>
  <c r="C39" i="6" s="1"/>
  <c r="O71" i="10"/>
  <c r="Q75" i="10" s="1"/>
  <c r="C70" i="6" s="1"/>
  <c r="O136" i="10"/>
  <c r="Q140" i="10" s="1"/>
  <c r="C135" i="6" s="1"/>
  <c r="O195" i="10"/>
  <c r="Q199" i="10" s="1"/>
  <c r="C194" i="6" s="1"/>
  <c r="O119" i="10"/>
  <c r="Q123" i="10" s="1"/>
  <c r="C118" i="6" s="1"/>
  <c r="O150" i="10"/>
  <c r="Q154" i="10" s="1"/>
  <c r="C149" i="6" s="1"/>
  <c r="O160" i="10"/>
  <c r="Q164" i="10" s="1"/>
  <c r="C159" i="6" s="1"/>
  <c r="O166" i="10"/>
  <c r="Q170" i="10" s="1"/>
  <c r="C165" i="6" s="1"/>
  <c r="O158" i="10"/>
  <c r="Q162" i="10" s="1"/>
  <c r="C157" i="6" s="1"/>
  <c r="O99" i="10"/>
  <c r="Q103" i="10" s="1"/>
  <c r="C98" i="6" s="1"/>
  <c r="O92" i="10"/>
  <c r="Q96" i="10" s="1"/>
  <c r="C91" i="6" s="1"/>
  <c r="O230" i="10"/>
  <c r="Q234" i="10" s="1"/>
  <c r="C229" i="6" s="1"/>
  <c r="O161" i="10"/>
  <c r="Q165" i="10" s="1"/>
  <c r="C160" i="6" s="1"/>
  <c r="N20" i="10"/>
  <c r="P24" i="10" s="1"/>
  <c r="B19" i="6" s="1"/>
  <c r="O47" i="10"/>
  <c r="Q51" i="10" s="1"/>
  <c r="C46" i="6" s="1"/>
  <c r="O22" i="10"/>
  <c r="Q26" i="10" s="1"/>
  <c r="C21" i="6" s="1"/>
  <c r="O152" i="10"/>
  <c r="Q156" i="10" s="1"/>
  <c r="C151" i="6" s="1"/>
  <c r="O199" i="10"/>
  <c r="Q203" i="10" s="1"/>
  <c r="C198" i="6" s="1"/>
  <c r="N49" i="10"/>
  <c r="P53" i="10" s="1"/>
  <c r="B48" i="6" s="1"/>
  <c r="B8" i="10"/>
  <c r="B7" i="10"/>
  <c r="O220" i="10"/>
  <c r="Q224" i="10" s="1"/>
  <c r="C219" i="6" s="1"/>
  <c r="O19" i="10"/>
  <c r="Q23" i="10" s="1"/>
  <c r="C18" i="6" s="1"/>
  <c r="O145" i="10"/>
  <c r="Q149" i="10" s="1"/>
  <c r="C144" i="6" s="1"/>
  <c r="O169" i="10"/>
  <c r="Q173" i="10" s="1"/>
  <c r="C168" i="6" s="1"/>
  <c r="O82" i="10"/>
  <c r="Q86" i="10" s="1"/>
  <c r="C81" i="6" s="1"/>
  <c r="O34" i="10"/>
  <c r="Q38" i="10" s="1"/>
  <c r="C33" i="6" s="1"/>
  <c r="N37" i="10"/>
  <c r="P41" i="10" s="1"/>
  <c r="B36" i="6" s="1"/>
  <c r="N41" i="10"/>
  <c r="P45" i="10" s="1"/>
  <c r="B40" i="6" s="1"/>
  <c r="N42" i="10"/>
  <c r="P46" i="10" s="1"/>
  <c r="B41" i="6" s="1"/>
  <c r="O97" i="10"/>
  <c r="Q101" i="10" s="1"/>
  <c r="C96" i="6" s="1"/>
  <c r="O149" i="10"/>
  <c r="Q153" i="10" s="1"/>
  <c r="C148" i="6" s="1"/>
  <c r="O262" i="10"/>
  <c r="Q266" i="10" s="1"/>
  <c r="C261" i="6" s="1"/>
  <c r="O23" i="10"/>
  <c r="Q27" i="10" s="1"/>
  <c r="C22" i="6" s="1"/>
  <c r="O205" i="10"/>
  <c r="Q209" i="10" s="1"/>
  <c r="C204" i="6" s="1"/>
  <c r="O235" i="10"/>
  <c r="Q239" i="10" s="1"/>
  <c r="C234" i="6" s="1"/>
  <c r="N38" i="10"/>
  <c r="P42" i="10" s="1"/>
  <c r="B37" i="6" s="1"/>
  <c r="N56" i="10"/>
  <c r="P60" i="10" s="1"/>
  <c r="B55" i="6" s="1"/>
  <c r="C7" i="10"/>
  <c r="O7" i="10" s="1"/>
  <c r="C8" i="10"/>
  <c r="O8" i="10" s="1"/>
  <c r="Q12" i="10" l="1"/>
  <c r="C7" i="6" s="1"/>
  <c r="Q8" i="10"/>
  <c r="C3" i="6" s="1"/>
  <c r="Q11" i="10"/>
  <c r="C6" i="6" s="1"/>
  <c r="Q7" i="10"/>
  <c r="C2" i="6" s="1"/>
  <c r="Q10" i="10"/>
  <c r="C5" i="6" s="1"/>
  <c r="Q9" i="10"/>
  <c r="C4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tc={CD35C11D-0F53-446F-8E2C-F363717D4E57}</author>
  </authors>
  <commentList>
    <comment ref="T3" authorId="0" shapeId="0" xr:uid="{00000000-0006-0000-0000-000001000000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Margin taken to get multiple values of H and D to verify that the envelope is large enough
</t>
      </text>
    </comment>
  </commentList>
</comments>
</file>

<file path=xl/sharedStrings.xml><?xml version="1.0" encoding="utf-8"?>
<sst xmlns="http://schemas.openxmlformats.org/spreadsheetml/2006/main" count="55" uniqueCount="50">
  <si>
    <t>Phase jump response for an second order system (Xi &lt;1)</t>
  </si>
  <si>
    <t>EMT simulation</t>
  </si>
  <si>
    <t>Phase shift applied at the infinite bus</t>
  </si>
  <si>
    <t>Ratio</t>
  </si>
  <si>
    <t>min</t>
  </si>
  <si>
    <t>max</t>
  </si>
  <si>
    <t>nominal values</t>
  </si>
  <si>
    <t>Min</t>
  </si>
  <si>
    <t>Max</t>
  </si>
  <si>
    <t>Delta theta (deg)</t>
  </si>
  <si>
    <t>Wd</t>
  </si>
  <si>
    <t>Time</t>
  </si>
  <si>
    <t>Enveloppe min avec marge et tunnel et +10ms</t>
  </si>
  <si>
    <t>enveloppe max avec  marge et tunnel et +10ms</t>
  </si>
  <si>
    <t>Expected minumum exponential response with x margin</t>
  </si>
  <si>
    <t>expecter behavior</t>
  </si>
  <si>
    <t>expecter behavior (min values H and D)</t>
  </si>
  <si>
    <t>expecter behavior (max values H and D)</t>
  </si>
  <si>
    <t>Expected second order response with 10 ms delay (only at begining)</t>
  </si>
  <si>
    <t>Expected second order response with margin up and with 10 ms delay</t>
  </si>
  <si>
    <t>Expected second order response with margin (high) NO delay</t>
  </si>
  <si>
    <t>Expected second order response with margin (high) -tunnel</t>
  </si>
  <si>
    <t>Expected second order response with margin (high)+tunnel</t>
  </si>
  <si>
    <t>Expected second order response with 10 ms delay and low margin</t>
  </si>
  <si>
    <t>using the expected envelope as a max when the damped sinusoid decreases</t>
  </si>
  <si>
    <t>Envelope min - band finale</t>
  </si>
  <si>
    <t>Pup</t>
  </si>
  <si>
    <t>Pdown</t>
  </si>
  <si>
    <t>P0</t>
  </si>
  <si>
    <t>Xi</t>
  </si>
  <si>
    <t>SCR</t>
  </si>
  <si>
    <t>deltatheta</t>
  </si>
  <si>
    <t>D</t>
  </si>
  <si>
    <t>Ppeak</t>
  </si>
  <si>
    <t>X (transformer)</t>
  </si>
  <si>
    <t xml:space="preserve">ksi </t>
  </si>
  <si>
    <t>H</t>
  </si>
  <si>
    <t>Sigma</t>
  </si>
  <si>
    <t>Wb</t>
  </si>
  <si>
    <t>Xtot</t>
  </si>
  <si>
    <t>X (converter + filter)</t>
  </si>
  <si>
    <t>Wn</t>
  </si>
  <si>
    <t>U converter</t>
  </si>
  <si>
    <t>Tunnel</t>
  </si>
  <si>
    <t>U grid</t>
  </si>
  <si>
    <t>Xgr</t>
  </si>
  <si>
    <t>Final allowed tunnel (% variation)</t>
  </si>
  <si>
    <t>Final allowed tunnel (% Pn)</t>
  </si>
  <si>
    <t>Margin high</t>
  </si>
  <si>
    <t>Margin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</si>
</sst>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9" fontId="0" fillId="2" borderId="0" xfId="0" applyNumberFormat="1" applyFill="1"/>
    <xf numFmtId="0" fontId="0" fillId="0" borderId="0" xfId="0" applyAlignment="1">
      <alignment wrapText="1"/>
    </xf>
    <xf numFmtId="0" fontId="2" fillId="3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982560031235764E-2"/>
          <c:y val="6.9948137670909946E-2"/>
          <c:w val="0.94958217826077529"/>
          <c:h val="0.91969350365857738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'Second Order V3'!$E$6</c:f>
              <c:strCache>
                <c:ptCount val="1"/>
                <c:pt idx="0">
                  <c:v>expecter behavior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'Second Order V3'!$A$7:$A$270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'Second Order V3'!$E$7:$E$270</c:f>
              <c:numCache>
                <c:formatCode>General</c:formatCode>
                <c:ptCount val="264"/>
                <c:pt idx="0">
                  <c:v>0.47841653959318836</c:v>
                </c:pt>
                <c:pt idx="1">
                  <c:v>0.46066743019841644</c:v>
                </c:pt>
                <c:pt idx="2">
                  <c:v>0.4432814664085456</c:v>
                </c:pt>
                <c:pt idx="3">
                  <c:v>0.42626388722580788</c:v>
                </c:pt>
                <c:pt idx="4">
                  <c:v>0.40961918986818058</c:v>
                </c:pt>
                <c:pt idx="5">
                  <c:v>0.39335116001021259</c:v>
                </c:pt>
                <c:pt idx="6">
                  <c:v>0.37746290148824035</c:v>
                </c:pt>
                <c:pt idx="7">
                  <c:v>0.36195686545690359</c:v>
                </c:pt>
                <c:pt idx="8">
                  <c:v>0.34683487898523363</c:v>
                </c:pt>
                <c:pt idx="9">
                  <c:v>0.33209817308189965</c:v>
                </c:pt>
                <c:pt idx="10">
                  <c:v>0.31774741014045932</c:v>
                </c:pt>
                <c:pt idx="11">
                  <c:v>0.30378271079667274</c:v>
                </c:pt>
                <c:pt idx="12">
                  <c:v>0.2902036801910996</c:v>
                </c:pt>
                <c:pt idx="13">
                  <c:v>0.27700943363131969</c:v>
                </c:pt>
                <c:pt idx="14">
                  <c:v>0.2641986216491809</c:v>
                </c:pt>
                <c:pt idx="15">
                  <c:v>0.2517694544495041</c:v>
                </c:pt>
                <c:pt idx="16">
                  <c:v>0.23971972574765182</c:v>
                </c:pt>
                <c:pt idx="17">
                  <c:v>0.22804683599429842</c:v>
                </c:pt>
                <c:pt idx="18">
                  <c:v>0.21674781498663309</c:v>
                </c:pt>
                <c:pt idx="19">
                  <c:v>0.20581934386607109</c:v>
                </c:pt>
                <c:pt idx="20">
                  <c:v>0.19525777650335646</c:v>
                </c:pt>
                <c:pt idx="21">
                  <c:v>0.18505916027270553</c:v>
                </c:pt>
                <c:pt idx="22">
                  <c:v>0.17521925621736401</c:v>
                </c:pt>
                <c:pt idx="23">
                  <c:v>0.16573355860964203</c:v>
                </c:pt>
                <c:pt idx="24">
                  <c:v>0.1565973139091372</c:v>
                </c:pt>
                <c:pt idx="25">
                  <c:v>0.1478055391234723</c:v>
                </c:pt>
                <c:pt idx="26">
                  <c:v>0.13935303957645051</c:v>
                </c:pt>
                <c:pt idx="27">
                  <c:v>0.1312344260890744</c:v>
                </c:pt>
                <c:pt idx="28">
                  <c:v>0.12344413157938411</c:v>
                </c:pt>
                <c:pt idx="29">
                  <c:v>0.11597642708754766</c:v>
                </c:pt>
                <c:pt idx="30">
                  <c:v>0.10882543723308015</c:v>
                </c:pt>
                <c:pt idx="31">
                  <c:v>0.10198515511148398</c:v>
                </c:pt>
                <c:pt idx="32">
                  <c:v>9.5449456637985555E-2</c:v>
                </c:pt>
                <c:pt idx="33">
                  <c:v>8.9212114346399918E-2</c:v>
                </c:pt>
                <c:pt idx="34">
                  <c:v>8.3266810651482573E-2</c:v>
                </c:pt>
                <c:pt idx="35">
                  <c:v>7.7607150583427612E-2</c:v>
                </c:pt>
                <c:pt idx="36">
                  <c:v>7.2226674003446234E-2</c:v>
                </c:pt>
                <c:pt idx="37">
                  <c:v>6.7118867309608934E-2</c:v>
                </c:pt>
                <c:pt idx="38">
                  <c:v>6.2277174642359337E-2</c:v>
                </c:pt>
                <c:pt idx="39">
                  <c:v>5.7695008599309525E-2</c:v>
                </c:pt>
                <c:pt idx="40">
                  <c:v>5.3365760469106099E-2</c:v>
                </c:pt>
                <c:pt idx="41">
                  <c:v>4.9282809994312712E-2</c:v>
                </c:pt>
                <c:pt idx="42">
                  <c:v>4.5439534673392297E-2</c:v>
                </c:pt>
                <c:pt idx="43">
                  <c:v>4.1829318611988554E-2</c:v>
                </c:pt>
                <c:pt idx="44">
                  <c:v>3.844556093380383E-2</c:v>
                </c:pt>
                <c:pt idx="45">
                  <c:v>3.5281683761449308E-2</c:v>
                </c:pt>
                <c:pt idx="46">
                  <c:v>3.2331139777705756E-2</c:v>
                </c:pt>
                <c:pt idx="47">
                  <c:v>2.9587419377676921E-2</c:v>
                </c:pt>
                <c:pt idx="48">
                  <c:v>2.7044057422347466E-2</c:v>
                </c:pt>
                <c:pt idx="49">
                  <c:v>2.4694639604070208E-2</c:v>
                </c:pt>
                <c:pt idx="50">
                  <c:v>2.2532808434506037E-2</c:v>
                </c:pt>
                <c:pt idx="51">
                  <c:v>2.0552268865526545E-2</c:v>
                </c:pt>
                <c:pt idx="52">
                  <c:v>1.8746793553559113E-2</c:v>
                </c:pt>
                <c:pt idx="53">
                  <c:v>1.7110227777815776E-2</c:v>
                </c:pt>
                <c:pt idx="54">
                  <c:v>1.5636494022793559E-2</c:v>
                </c:pt>
                <c:pt idx="55">
                  <c:v>1.431959623537131E-2</c:v>
                </c:pt>
                <c:pt idx="56">
                  <c:v>1.315362376675322E-2</c:v>
                </c:pt>
                <c:pt idx="57">
                  <c:v>1.2132755009426205E-2</c:v>
                </c:pt>
                <c:pt idx="58">
                  <c:v>1.1251260739204516E-2</c:v>
                </c:pt>
                <c:pt idx="59">
                  <c:v>1.0503507172332921E-2</c:v>
                </c:pt>
                <c:pt idx="60">
                  <c:v>9.883958747510177E-3</c:v>
                </c:pt>
                <c:pt idx="61">
                  <c:v>9.3871806425756404E-3</c:v>
                </c:pt>
                <c:pt idx="62">
                  <c:v>9.0078410354783034E-3</c:v>
                </c:pt>
                <c:pt idx="63">
                  <c:v>8.740713119014476E-3</c:v>
                </c:pt>
                <c:pt idx="64">
                  <c:v>8.5806768786841903E-3</c:v>
                </c:pt>
                <c:pt idx="65">
                  <c:v>8.5227206428717256E-3</c:v>
                </c:pt>
                <c:pt idx="66">
                  <c:v>8.5619424144083855E-3</c:v>
                </c:pt>
                <c:pt idx="67">
                  <c:v>8.693550992421431E-3</c:v>
                </c:pt>
                <c:pt idx="68">
                  <c:v>8.9128668932168253E-3</c:v>
                </c:pt>
                <c:pt idx="69">
                  <c:v>9.2153230787806323E-3</c:v>
                </c:pt>
                <c:pt idx="70">
                  <c:v>9.5964655013208444E-3</c:v>
                </c:pt>
                <c:pt idx="71">
                  <c:v>1.0051953472101888E-2</c:v>
                </c:pt>
                <c:pt idx="72">
                  <c:v>1.0577559862654837E-2</c:v>
                </c:pt>
                <c:pt idx="73">
                  <c:v>1.1169171146272583E-2</c:v>
                </c:pt>
                <c:pt idx="74">
                  <c:v>1.1822787287524547E-2</c:v>
                </c:pt>
                <c:pt idx="75">
                  <c:v>1.2534521487349196E-2</c:v>
                </c:pt>
                <c:pt idx="76">
                  <c:v>1.3300599791104289E-2</c:v>
                </c:pt>
                <c:pt idx="77">
                  <c:v>1.4117360566775608E-2</c:v>
                </c:pt>
                <c:pt idx="78">
                  <c:v>1.4981253860365806E-2</c:v>
                </c:pt>
                <c:pt idx="79">
                  <c:v>1.5888840635303977E-2</c:v>
                </c:pt>
                <c:pt idx="80">
                  <c:v>1.6836791902536688E-2</c:v>
                </c:pt>
                <c:pt idx="81">
                  <c:v>1.7821887747779541E-2</c:v>
                </c:pt>
                <c:pt idx="82">
                  <c:v>1.884101626222974E-2</c:v>
                </c:pt>
                <c:pt idx="83">
                  <c:v>1.9891172382858972E-2</c:v>
                </c:pt>
                <c:pt idx="84">
                  <c:v>2.0969456648227115E-2</c:v>
                </c:pt>
                <c:pt idx="85">
                  <c:v>2.2073073875579483E-2</c:v>
                </c:pt>
                <c:pt idx="86">
                  <c:v>2.3199331764812973E-2</c:v>
                </c:pt>
                <c:pt idx="87">
                  <c:v>2.4345639434720186E-2</c:v>
                </c:pt>
                <c:pt idx="88">
                  <c:v>2.5509505896747046E-2</c:v>
                </c:pt>
                <c:pt idx="89">
                  <c:v>2.6688538471325463E-2</c:v>
                </c:pt>
                <c:pt idx="90">
                  <c:v>2.7880441151672875E-2</c:v>
                </c:pt>
                <c:pt idx="91">
                  <c:v>2.9083012919780014E-2</c:v>
                </c:pt>
                <c:pt idx="92">
                  <c:v>3.0294146019141967E-2</c:v>
                </c:pt>
                <c:pt idx="93">
                  <c:v>3.1511824188621737E-2</c:v>
                </c:pt>
                <c:pt idx="94">
                  <c:v>3.273412086167405E-2</c:v>
                </c:pt>
                <c:pt idx="95">
                  <c:v>3.3959197334995091E-2</c:v>
                </c:pt>
                <c:pt idx="96">
                  <c:v>3.5185300910506867E-2</c:v>
                </c:pt>
                <c:pt idx="97">
                  <c:v>3.6410763014429859E-2</c:v>
                </c:pt>
                <c:pt idx="98">
                  <c:v>3.763399729704342E-2</c:v>
                </c:pt>
                <c:pt idx="99">
                  <c:v>3.8853497716584695E-2</c:v>
                </c:pt>
                <c:pt idx="100">
                  <c:v>4.0067836610588818E-2</c:v>
                </c:pt>
                <c:pt idx="101">
                  <c:v>4.1275662757828631E-2</c:v>
                </c:pt>
                <c:pt idx="102">
                  <c:v>4.2475699433870709E-2</c:v>
                </c:pt>
                <c:pt idx="103">
                  <c:v>4.3666742463125942E-2</c:v>
                </c:pt>
                <c:pt idx="104">
                  <c:v>4.4847658270136509E-2</c:v>
                </c:pt>
                <c:pt idx="105">
                  <c:v>4.601738193270944E-2</c:v>
                </c:pt>
                <c:pt idx="106">
                  <c:v>4.7174915239376045E-2</c:v>
                </c:pt>
                <c:pt idx="107">
                  <c:v>4.8319324753530714E-2</c:v>
                </c:pt>
                <c:pt idx="108">
                  <c:v>4.94497398864788E-2</c:v>
                </c:pt>
                <c:pt idx="109">
                  <c:v>5.0565350981502305E-2</c:v>
                </c:pt>
                <c:pt idx="110">
                  <c:v>5.1665407410935602E-2</c:v>
                </c:pt>
                <c:pt idx="111">
                  <c:v>5.2749215688128126E-2</c:v>
                </c:pt>
                <c:pt idx="112">
                  <c:v>5.381613759606059E-2</c:v>
                </c:pt>
                <c:pt idx="113">
                  <c:v>5.4865588334272547E-2</c:v>
                </c:pt>
                <c:pt idx="114">
                  <c:v>5.5897034685654531E-2</c:v>
                </c:pt>
                <c:pt idx="115">
                  <c:v>5.6909993204555566E-2</c:v>
                </c:pt>
                <c:pt idx="116">
                  <c:v>5.7904028427558527E-2</c:v>
                </c:pt>
                <c:pt idx="117">
                  <c:v>5.8878751108179486E-2</c:v>
                </c:pt>
                <c:pt idx="118">
                  <c:v>5.9833816476654485E-2</c:v>
                </c:pt>
                <c:pt idx="119">
                  <c:v>6.0768922525887281E-2</c:v>
                </c:pt>
                <c:pt idx="120">
                  <c:v>6.168380832454496E-2</c:v>
                </c:pt>
                <c:pt idx="121">
                  <c:v>6.2578252358203842E-2</c:v>
                </c:pt>
                <c:pt idx="122">
                  <c:v>6.3452070899367746E-2</c:v>
                </c:pt>
                <c:pt idx="123">
                  <c:v>6.4305116407101695E-2</c:v>
                </c:pt>
                <c:pt idx="124">
                  <c:v>6.5137275956949528E-2</c:v>
                </c:pt>
                <c:pt idx="125">
                  <c:v>6.5948469701730891E-2</c:v>
                </c:pt>
                <c:pt idx="126">
                  <c:v>6.6738649363743324E-2</c:v>
                </c:pt>
                <c:pt idx="127">
                  <c:v>6.7507796758828231E-2</c:v>
                </c:pt>
                <c:pt idx="128">
                  <c:v>6.8255922352694759E-2</c:v>
                </c:pt>
                <c:pt idx="129">
                  <c:v>6.8983063849834519E-2</c:v>
                </c:pt>
                <c:pt idx="130">
                  <c:v>6.9689284815299582E-2</c:v>
                </c:pt>
                <c:pt idx="131">
                  <c:v>7.0374673329561113E-2</c:v>
                </c:pt>
                <c:pt idx="132">
                  <c:v>7.1039340676610122E-2</c:v>
                </c:pt>
                <c:pt idx="133">
                  <c:v>7.1683420065411396E-2</c:v>
                </c:pt>
                <c:pt idx="134">
                  <c:v>7.2307065384771441E-2</c:v>
                </c:pt>
                <c:pt idx="135">
                  <c:v>7.2910449991634319E-2</c:v>
                </c:pt>
                <c:pt idx="136">
                  <c:v>7.3493765532774674E-2</c:v>
                </c:pt>
                <c:pt idx="137">
                  <c:v>7.4057220799814708E-2</c:v>
                </c:pt>
                <c:pt idx="138">
                  <c:v>7.4601040617450806E-2</c:v>
                </c:pt>
                <c:pt idx="139">
                  <c:v>7.5125464764738248E-2</c:v>
                </c:pt>
                <c:pt idx="140">
                  <c:v>7.5630746929245277E-2</c:v>
                </c:pt>
                <c:pt idx="141">
                  <c:v>7.6117153693854259E-2</c:v>
                </c:pt>
                <c:pt idx="142">
                  <c:v>7.658496355595501E-2</c:v>
                </c:pt>
                <c:pt idx="143">
                  <c:v>7.7034465978745234E-2</c:v>
                </c:pt>
                <c:pt idx="144">
                  <c:v>7.7465960474324497E-2</c:v>
                </c:pt>
                <c:pt idx="145">
                  <c:v>7.7879755718241558E-2</c:v>
                </c:pt>
                <c:pt idx="146">
                  <c:v>7.8276168695129655E-2</c:v>
                </c:pt>
                <c:pt idx="147">
                  <c:v>7.8655523875041655E-2</c:v>
                </c:pt>
                <c:pt idx="148">
                  <c:v>7.9018152420074719E-2</c:v>
                </c:pt>
                <c:pt idx="149">
                  <c:v>7.9364391420854941E-2</c:v>
                </c:pt>
                <c:pt idx="150">
                  <c:v>7.969458316243308E-2</c:v>
                </c:pt>
                <c:pt idx="151">
                  <c:v>8.000907441912633E-2</c:v>
                </c:pt>
                <c:pt idx="152">
                  <c:v>8.0308215777825126E-2</c:v>
                </c:pt>
                <c:pt idx="153">
                  <c:v>8.0592360989270057E-2</c:v>
                </c:pt>
                <c:pt idx="154">
                  <c:v>8.0861866346790878E-2</c:v>
                </c:pt>
                <c:pt idx="155">
                  <c:v>8.1117090091988669E-2</c:v>
                </c:pt>
                <c:pt idx="156">
                  <c:v>8.1358391846831329E-2</c:v>
                </c:pt>
                <c:pt idx="157">
                  <c:v>8.1586132071624157E-2</c:v>
                </c:pt>
                <c:pt idx="158">
                  <c:v>8.1800671548308695E-2</c:v>
                </c:pt>
                <c:pt idx="159">
                  <c:v>8.2002370888536916E-2</c:v>
                </c:pt>
                <c:pt idx="160">
                  <c:v>8.2191590065961787E-2</c:v>
                </c:pt>
                <c:pt idx="161">
                  <c:v>8.2368687972180263E-2</c:v>
                </c:pt>
                <c:pt idx="162">
                  <c:v>8.253402199576175E-2</c:v>
                </c:pt>
                <c:pt idx="163">
                  <c:v>8.2687947623791433E-2</c:v>
                </c:pt>
                <c:pt idx="164">
                  <c:v>8.2830818065356679E-2</c:v>
                </c:pt>
                <c:pt idx="165">
                  <c:v>8.2962983896403206E-2</c:v>
                </c:pt>
                <c:pt idx="166">
                  <c:v>8.3084792725387546E-2</c:v>
                </c:pt>
                <c:pt idx="167">
                  <c:v>8.3196588879153141E-2</c:v>
                </c:pt>
                <c:pt idx="168">
                  <c:v>8.3298713108458031E-2</c:v>
                </c:pt>
                <c:pt idx="169">
                  <c:v>8.339150231258477E-2</c:v>
                </c:pt>
                <c:pt idx="170">
                  <c:v>8.3475289282465281E-2</c:v>
                </c:pt>
                <c:pt idx="171">
                  <c:v>8.3550402461756768E-2</c:v>
                </c:pt>
                <c:pt idx="172">
                  <c:v>8.3617165725308473E-2</c:v>
                </c:pt>
                <c:pt idx="173">
                  <c:v>8.3675898174463831E-2</c:v>
                </c:pt>
                <c:pt idx="174">
                  <c:v>8.3726913948646869E-2</c:v>
                </c:pt>
                <c:pt idx="175">
                  <c:v>8.3770522052687507E-2</c:v>
                </c:pt>
                <c:pt idx="176">
                  <c:v>8.3807026199346032E-2</c:v>
                </c:pt>
                <c:pt idx="177">
                  <c:v>8.3836724666503507E-2</c:v>
                </c:pt>
                <c:pt idx="178">
                  <c:v>8.3859910168491023E-2</c:v>
                </c:pt>
                <c:pt idx="179">
                  <c:v>8.3876869741038543E-2</c:v>
                </c:pt>
                <c:pt idx="180">
                  <c:v>8.3887884639330515E-2</c:v>
                </c:pt>
                <c:pt idx="181">
                  <c:v>8.3893230248663964E-2</c:v>
                </c:pt>
                <c:pt idx="182">
                  <c:v>8.3893176007212064E-2</c:v>
                </c:pt>
                <c:pt idx="183">
                  <c:v>8.3887985340405036E-2</c:v>
                </c:pt>
                <c:pt idx="184">
                  <c:v>8.3877915606448195E-2</c:v>
                </c:pt>
                <c:pt idx="185">
                  <c:v>8.3863218052505975E-2</c:v>
                </c:pt>
                <c:pt idx="186">
                  <c:v>8.3844137781089595E-2</c:v>
                </c:pt>
                <c:pt idx="187">
                  <c:v>8.3820913726195087E-2</c:v>
                </c:pt>
                <c:pt idx="188">
                  <c:v>8.3793778638747637E-2</c:v>
                </c:pt>
                <c:pt idx="189">
                  <c:v>8.3762959080917604E-2</c:v>
                </c:pt>
                <c:pt idx="190">
                  <c:v>8.3728675428883043E-2</c:v>
                </c:pt>
                <c:pt idx="191">
                  <c:v>8.369114188362306E-2</c:v>
                </c:pt>
                <c:pt idx="192">
                  <c:v>8.3650566489336303E-2</c:v>
                </c:pt>
                <c:pt idx="193">
                  <c:v>8.3607151159088067E-2</c:v>
                </c:pt>
                <c:pt idx="194">
                  <c:v>8.3561091707299931E-2</c:v>
                </c:pt>
                <c:pt idx="195">
                  <c:v>8.3512577888705114E-2</c:v>
                </c:pt>
                <c:pt idx="196">
                  <c:v>8.3461793443402946E-2</c:v>
                </c:pt>
                <c:pt idx="197">
                  <c:v>8.3408916147655332E-2</c:v>
                </c:pt>
                <c:pt idx="198">
                  <c:v>8.3354117870078306E-2</c:v>
                </c:pt>
                <c:pt idx="199">
                  <c:v>8.3297564632891327E-2</c:v>
                </c:pt>
                <c:pt idx="200">
                  <c:v>8.3239416677896666E-2</c:v>
                </c:pt>
                <c:pt idx="201">
                  <c:v>8.3179828536871309E-2</c:v>
                </c:pt>
                <c:pt idx="202">
                  <c:v>8.3118949106063114E-2</c:v>
                </c:pt>
                <c:pt idx="203">
                  <c:v>8.3056921724492763E-2</c:v>
                </c:pt>
                <c:pt idx="204">
                  <c:v>8.2993884255772546E-2</c:v>
                </c:pt>
                <c:pt idx="205">
                  <c:v>8.2929969173162421E-2</c:v>
                </c:pt>
                <c:pt idx="206">
                  <c:v>8.2865303647593203E-2</c:v>
                </c:pt>
                <c:pt idx="207">
                  <c:v>8.280000963839608E-2</c:v>
                </c:pt>
                <c:pt idx="208">
                  <c:v>8.273420398648651E-2</c:v>
                </c:pt>
                <c:pt idx="209">
                  <c:v>8.2667998509759921E-2</c:v>
                </c:pt>
                <c:pt idx="210">
                  <c:v>8.2601500100465478E-2</c:v>
                </c:pt>
                <c:pt idx="211">
                  <c:v>8.2534810824332699E-2</c:v>
                </c:pt>
                <c:pt idx="212">
                  <c:v>8.2468028021234818E-2</c:v>
                </c:pt>
                <c:pt idx="213">
                  <c:v>8.2401244407180926E-2</c:v>
                </c:pt>
                <c:pt idx="214">
                  <c:v>8.2334548177437419E-2</c:v>
                </c:pt>
                <c:pt idx="215">
                  <c:v>8.2268023110587812E-2</c:v>
                </c:pt>
                <c:pt idx="216">
                  <c:v>8.2201748673347383E-2</c:v>
                </c:pt>
                <c:pt idx="217">
                  <c:v>8.2135800125957836E-2</c:v>
                </c:pt>
                <c:pt idx="218">
                  <c:v>8.2070248627994419E-2</c:v>
                </c:pt>
                <c:pt idx="219">
                  <c:v>8.2005161344425703E-2</c:v>
                </c:pt>
                <c:pt idx="220">
                  <c:v>8.1940601551773726E-2</c:v>
                </c:pt>
                <c:pt idx="221">
                  <c:v>8.1876628744229532E-2</c:v>
                </c:pt>
                <c:pt idx="222">
                  <c:v>8.1813298739586024E-2</c:v>
                </c:pt>
                <c:pt idx="223">
                  <c:v>8.1750663784857458E-2</c:v>
                </c:pt>
                <c:pt idx="224">
                  <c:v>8.1688772661461254E-2</c:v>
                </c:pt>
                <c:pt idx="225">
                  <c:v>8.1627670789844703E-2</c:v>
                </c:pt>
                <c:pt idx="226">
                  <c:v>8.1567400333445478E-2</c:v>
                </c:pt>
                <c:pt idx="227">
                  <c:v>8.1508000301881281E-2</c:v>
                </c:pt>
                <c:pt idx="228">
                  <c:v>8.1449506653270054E-2</c:v>
                </c:pt>
                <c:pt idx="229">
                  <c:v>8.139195239558783E-2</c:v>
                </c:pt>
                <c:pt idx="230">
                  <c:v>8.133536768697773E-2</c:v>
                </c:pt>
                <c:pt idx="231">
                  <c:v>8.1279779934928548E-2</c:v>
                </c:pt>
                <c:pt idx="232">
                  <c:v>8.1225213894247375E-2</c:v>
                </c:pt>
                <c:pt idx="233">
                  <c:v>8.1171691763755521E-2</c:v>
                </c:pt>
                <c:pt idx="234">
                  <c:v>8.11192332816425E-2</c:v>
                </c:pt>
                <c:pt idx="235">
                  <c:v>8.1067855819417722E-2</c:v>
                </c:pt>
                <c:pt idx="236">
                  <c:v>8.1017574474404025E-2</c:v>
                </c:pt>
                <c:pt idx="237">
                  <c:v>8.0968402160722347E-2</c:v>
                </c:pt>
                <c:pt idx="238">
                  <c:v>8.0920349698720834E-2</c:v>
                </c:pt>
                <c:pt idx="239">
                  <c:v>8.0873425902806217E-2</c:v>
                </c:pt>
                <c:pt idx="240">
                  <c:v>8.082763766763959E-2</c:v>
                </c:pt>
                <c:pt idx="241">
                  <c:v>8.0782990052662415E-2</c:v>
                </c:pt>
                <c:pt idx="242">
                  <c:v>8.0739486364922647E-2</c:v>
                </c:pt>
                <c:pt idx="243">
                  <c:v>8.0697128240174595E-2</c:v>
                </c:pt>
                <c:pt idx="244">
                  <c:v>8.0655915722229687E-2</c:v>
                </c:pt>
                <c:pt idx="245">
                  <c:v>8.0615847340538588E-2</c:v>
                </c:pt>
                <c:pt idx="246">
                  <c:v>8.057692018598861E-2</c:v>
                </c:pt>
                <c:pt idx="247">
                  <c:v>8.0539129984903327E-2</c:v>
                </c:pt>
                <c:pt idx="248">
                  <c:v>8.0502471171234519E-2</c:v>
                </c:pt>
                <c:pt idx="249">
                  <c:v>8.046693695693917E-2</c:v>
                </c:pt>
                <c:pt idx="250">
                  <c:v>8.0432519400537181E-2</c:v>
                </c:pt>
                <c:pt idx="251">
                  <c:v>8.0399209473848113E-2</c:v>
                </c:pt>
                <c:pt idx="252">
                  <c:v>8.0366997126907563E-2</c:v>
                </c:pt>
                <c:pt idx="253">
                  <c:v>8.0335871351066276E-2</c:v>
                </c:pt>
                <c:pt idx="254">
                  <c:v>8.0305820240277451E-2</c:v>
                </c:pt>
                <c:pt idx="255">
                  <c:v>8.0276831050579492E-2</c:v>
                </c:pt>
                <c:pt idx="256">
                  <c:v>8.024889025778395E-2</c:v>
                </c:pt>
                <c:pt idx="257">
                  <c:v>8.0221983613379774E-2</c:v>
                </c:pt>
                <c:pt idx="258">
                  <c:v>8.0196096198667313E-2</c:v>
                </c:pt>
                <c:pt idx="259">
                  <c:v>8.0171212477136752E-2</c:v>
                </c:pt>
                <c:pt idx="260">
                  <c:v>8.0147316345107605E-2</c:v>
                </c:pt>
                <c:pt idx="261">
                  <c:v>8.012439118064707E-2</c:v>
                </c:pt>
                <c:pt idx="262">
                  <c:v>8.0102419890786883E-2</c:v>
                </c:pt>
                <c:pt idx="263">
                  <c:v>8.0081384957058965E-2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533-4F49-87A1-EEF509FB0D0C}"/>
            </c:ext>
          </c:extLst>
        </c:ser>
        <c:ser>
          <c:idx val="14"/>
          <c:order val="3"/>
          <c:tx>
            <c:strRef>
              <c:f>'Second Order V3'!$P$6</c:f>
              <c:strCache>
                <c:ptCount val="1"/>
                <c:pt idx="0">
                  <c:v>Pup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V3'!$P$7:$P$270</c:f>
              <c:numCache>
                <c:formatCode>General</c:formatCode>
                <c:ptCount val="26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0.23936661583727536</c:v>
                </c:pt>
                <c:pt idx="7">
                  <c:v>0.23226697207936658</c:v>
                </c:pt>
                <c:pt idx="8">
                  <c:v>0.22531258656341824</c:v>
                </c:pt>
                <c:pt idx="9">
                  <c:v>0.21850555489032314</c:v>
                </c:pt>
                <c:pt idx="10">
                  <c:v>0.21184767594727222</c:v>
                </c:pt>
                <c:pt idx="11">
                  <c:v>0.20534046400408507</c:v>
                </c:pt>
                <c:pt idx="12">
                  <c:v>0.19898516059529617</c:v>
                </c:pt>
                <c:pt idx="13">
                  <c:v>0.19278274618276145</c:v>
                </c:pt>
                <c:pt idx="14">
                  <c:v>0.18673395159409345</c:v>
                </c:pt>
                <c:pt idx="15">
                  <c:v>0.18083926923275984</c:v>
                </c:pt>
                <c:pt idx="16">
                  <c:v>0.17509896405618375</c:v>
                </c:pt>
                <c:pt idx="17">
                  <c:v>0.16951308431866913</c:v>
                </c:pt>
                <c:pt idx="18">
                  <c:v>0.16408147207643986</c:v>
                </c:pt>
                <c:pt idx="19">
                  <c:v>0.15880377345252789</c:v>
                </c:pt>
                <c:pt idx="20">
                  <c:v>0.15367944865967237</c:v>
                </c:pt>
                <c:pt idx="21">
                  <c:v>0.14870778177980165</c:v>
                </c:pt>
                <c:pt idx="22">
                  <c:v>0.14388789029906074</c:v>
                </c:pt>
                <c:pt idx="23">
                  <c:v>0.13921873439771937</c:v>
                </c:pt>
                <c:pt idx="24">
                  <c:v>0.13187385392691076</c:v>
                </c:pt>
                <c:pt idx="25">
                  <c:v>0.12245260530586372</c:v>
                </c:pt>
                <c:pt idx="26">
                  <c:v>0.11360293428483867</c:v>
                </c:pt>
                <c:pt idx="27">
                  <c:v>0.1053024169047299</c:v>
                </c:pt>
                <c:pt idx="28">
                  <c:v>9.7529114505474232E-2</c:v>
                </c:pt>
                <c:pt idx="29">
                  <c:v>9.0261582858015346E-2</c:v>
                </c:pt>
                <c:pt idx="30">
                  <c:v>8.3478879696276584E-2</c:v>
                </c:pt>
                <c:pt idx="31">
                  <c:v>7.7160570745582385E-2</c:v>
                </c:pt>
                <c:pt idx="32">
                  <c:v>7.1286734340205188E-2</c:v>
                </c:pt>
                <c:pt idx="33">
                  <c:v>6.5837964719032555E-2</c:v>
                </c:pt>
                <c:pt idx="34">
                  <c:v>6.0795374084747875E-2</c:v>
                </c:pt>
                <c:pt idx="35">
                  <c:v>5.6140593508400699E-2</c:v>
                </c:pt>
                <c:pt idx="36">
                  <c:v>5.1855772757809983E-2</c:v>
                </c:pt>
                <c:pt idx="37">
                  <c:v>4.381817151959988E-2</c:v>
                </c:pt>
                <c:pt idx="38">
                  <c:v>3.4900215977223856E-2</c:v>
                </c:pt>
                <c:pt idx="39">
                  <c:v>2.6410725875141414E-2</c:v>
                </c:pt>
                <c:pt idx="40">
                  <c:v>1.8340011005169354E-2</c:v>
                </c:pt>
                <c:pt idx="41">
                  <c:v>1.0678300964413391E-2</c:v>
                </c:pt>
                <c:pt idx="42">
                  <c:v>3.415761963538988E-3</c:v>
                </c:pt>
                <c:pt idx="43">
                  <c:v>-3.4574871010357167E-3</c:v>
                </c:pt>
                <c:pt idx="44">
                  <c:v>-9.9513592963408476E-3</c:v>
                </c:pt>
                <c:pt idx="45">
                  <c:v>-1.6075785008530928E-2</c:v>
                </c:pt>
                <c:pt idx="46">
                  <c:v>-2.1840697989911569E-2</c:v>
                </c:pt>
                <c:pt idx="47">
                  <c:v>-2.7256022082017169E-2</c:v>
                </c:pt>
                <c:pt idx="48">
                  <c:v>-3.2331658599294266E-2</c:v>
                </c:pt>
                <c:pt idx="49">
                  <c:v>-3.7077474357826032E-2</c:v>
                </c:pt>
                <c:pt idx="50">
                  <c:v>-4.1503290333441384E-2</c:v>
                </c:pt>
                <c:pt idx="51">
                  <c:v>-4.5618870933484629E-2</c:v>
                </c:pt>
                <c:pt idx="52">
                  <c:v>-4.9433913866478801E-2</c:v>
                </c:pt>
                <c:pt idx="53">
                  <c:v>-5.2958040593894695E-2</c:v>
                </c:pt>
                <c:pt idx="54">
                  <c:v>-5.6200787348240938E-2</c:v>
                </c:pt>
                <c:pt idx="55">
                  <c:v>-5.9171596701710197E-2</c:v>
                </c:pt>
                <c:pt idx="56">
                  <c:v>-6.1879809669661334E-2</c:v>
                </c:pt>
                <c:pt idx="57">
                  <c:v>-6.4334658333276326E-2</c:v>
                </c:pt>
                <c:pt idx="58">
                  <c:v>-6.6545258965809678E-2</c:v>
                </c:pt>
                <c:pt idx="59">
                  <c:v>-6.8520605646943039E-2</c:v>
                </c:pt>
                <c:pt idx="60">
                  <c:v>-7.0269564349870167E-2</c:v>
                </c:pt>
                <c:pt idx="61">
                  <c:v>-7.1800867485860703E-2</c:v>
                </c:pt>
                <c:pt idx="62">
                  <c:v>-7.3123108891193236E-2</c:v>
                </c:pt>
                <c:pt idx="63">
                  <c:v>-7.4244739241500629E-2</c:v>
                </c:pt>
                <c:pt idx="64">
                  <c:v>-7.5174061878734766E-2</c:v>
                </c:pt>
                <c:pt idx="65">
                  <c:v>-7.5919229036136529E-2</c:v>
                </c:pt>
                <c:pt idx="66">
                  <c:v>-7.6488238446782528E-2</c:v>
                </c:pt>
                <c:pt idx="67">
                  <c:v>-7.6888930321478283E-2</c:v>
                </c:pt>
                <c:pt idx="68">
                  <c:v>-7.7128984681973711E-2</c:v>
                </c:pt>
                <c:pt idx="69">
                  <c:v>-7.7215919035692415E-2</c:v>
                </c:pt>
                <c:pt idx="70">
                  <c:v>-7.7157086378387432E-2</c:v>
                </c:pt>
                <c:pt idx="71">
                  <c:v>-7.6959673511367857E-2</c:v>
                </c:pt>
                <c:pt idx="72">
                  <c:v>-7.6630699660174773E-2</c:v>
                </c:pt>
                <c:pt idx="73">
                  <c:v>-7.6177015381829041E-2</c:v>
                </c:pt>
                <c:pt idx="74">
                  <c:v>-7.5605301748018744E-2</c:v>
                </c:pt>
                <c:pt idx="75">
                  <c:v>-7.4922069791847179E-2</c:v>
                </c:pt>
                <c:pt idx="76">
                  <c:v>-7.4133660206017749E-2</c:v>
                </c:pt>
                <c:pt idx="77">
                  <c:v>-7.3246243280591108E-2</c:v>
                </c:pt>
                <c:pt idx="78">
                  <c:v>-7.2265819068713197E-2</c:v>
                </c:pt>
                <c:pt idx="79">
                  <c:v>-7.1198217768976224E-2</c:v>
                </c:pt>
                <c:pt idx="80">
                  <c:v>-7.0049100313343562E-2</c:v>
                </c:pt>
                <c:pt idx="81">
                  <c:v>-6.8823959149836592E-2</c:v>
                </c:pt>
                <c:pt idx="82">
                  <c:v>-6.7528119209451301E-2</c:v>
                </c:pt>
                <c:pt idx="83">
                  <c:v>-6.6166739047044038E-2</c:v>
                </c:pt>
                <c:pt idx="84">
                  <c:v>-6.4744812146194972E-2</c:v>
                </c:pt>
                <c:pt idx="85">
                  <c:v>-6.3267168378330685E-2</c:v>
                </c:pt>
                <c:pt idx="86">
                  <c:v>-6.173847560665538E-2</c:v>
                </c:pt>
                <c:pt idx="87">
                  <c:v>-6.0163241425711542E-2</c:v>
                </c:pt>
                <c:pt idx="88">
                  <c:v>-5.854581502765932E-2</c:v>
                </c:pt>
                <c:pt idx="89">
                  <c:v>-5.6890389186630794E-2</c:v>
                </c:pt>
                <c:pt idx="90">
                  <c:v>-5.5201002352780554E-2</c:v>
                </c:pt>
                <c:pt idx="91">
                  <c:v>-5.3481540847919715E-2</c:v>
                </c:pt>
                <c:pt idx="92">
                  <c:v>-5.1735741154879417E-2</c:v>
                </c:pt>
                <c:pt idx="93">
                  <c:v>-4.9967192293011803E-2</c:v>
                </c:pt>
                <c:pt idx="94">
                  <c:v>-4.8179338272490699E-2</c:v>
                </c:pt>
                <c:pt idx="95">
                  <c:v>-4.6375480620329992E-2</c:v>
                </c:pt>
                <c:pt idx="96">
                  <c:v>-4.4558780971287057E-2</c:v>
                </c:pt>
                <c:pt idx="97">
                  <c:v>-4.2732263717067398E-2</c:v>
                </c:pt>
                <c:pt idx="98">
                  <c:v>-4.0898818707488932E-2</c:v>
                </c:pt>
                <c:pt idx="99">
                  <c:v>-3.9061203997507371E-2</c:v>
                </c:pt>
                <c:pt idx="100">
                  <c:v>-3.7222048634239696E-2</c:v>
                </c:pt>
                <c:pt idx="101">
                  <c:v>-3.5383855478355222E-2</c:v>
                </c:pt>
                <c:pt idx="102">
                  <c:v>-3.3549004054434881E-2</c:v>
                </c:pt>
                <c:pt idx="103">
                  <c:v>-3.1719753425122975E-2</c:v>
                </c:pt>
                <c:pt idx="104">
                  <c:v>-2.989824508411678E-2</c:v>
                </c:pt>
                <c:pt idx="105">
                  <c:v>-2.8086505863257061E-2</c:v>
                </c:pt>
                <c:pt idx="106">
                  <c:v>-2.6286450849193926E-2</c:v>
                </c:pt>
                <c:pt idx="107">
                  <c:v>-2.4499886305311094E-2</c:v>
                </c:pt>
                <c:pt idx="108">
                  <c:v>-2.272851259479524E-2</c:v>
                </c:pt>
                <c:pt idx="109">
                  <c:v>-2.0973927100935846E-2</c:v>
                </c:pt>
                <c:pt idx="110">
                  <c:v>-1.9237627140935951E-2</c:v>
                </c:pt>
                <c:pt idx="111">
                  <c:v>-1.7521012869703929E-2</c:v>
                </c:pt>
                <c:pt idx="112">
                  <c:v>-1.5825390170281797E-2</c:v>
                </c:pt>
                <c:pt idx="113">
                  <c:v>-1.4151973527746546E-2</c:v>
                </c:pt>
                <c:pt idx="114">
                  <c:v>-1.2501888883596601E-2</c:v>
                </c:pt>
                <c:pt idx="115">
                  <c:v>-1.0876176467807822E-2</c:v>
                </c:pt>
                <c:pt idx="116">
                  <c:v>-9.2757936059091189E-3</c:v>
                </c:pt>
                <c:pt idx="117">
                  <c:v>-7.70161749859119E-3</c:v>
                </c:pt>
                <c:pt idx="118">
                  <c:v>-6.1544479715182066E-3</c:v>
                </c:pt>
                <c:pt idx="119">
                  <c:v>-4.6350101931666582E-3</c:v>
                </c:pt>
                <c:pt idx="120">
                  <c:v>-3.1439573586622138E-3</c:v>
                </c:pt>
                <c:pt idx="121">
                  <c:v>-1.6818733377307674E-3</c:v>
                </c:pt>
                <c:pt idx="122">
                  <c:v>-2.4927528501828E-4</c:v>
                </c:pt>
                <c:pt idx="123">
                  <c:v>1.1533837888309112E-3</c:v>
                </c:pt>
                <c:pt idx="124">
                  <c:v>2.525712486817433E-3</c:v>
                </c:pt>
                <c:pt idx="125">
                  <c:v>3.8673785373057601E-3</c:v>
                </c:pt>
                <c:pt idx="126">
                  <c:v>5.1781063490516158E-3</c:v>
                </c:pt>
                <c:pt idx="127">
                  <c:v>6.457674610652539E-3</c:v>
                </c:pt>
                <c:pt idx="128">
                  <c:v>7.7059139354242884E-3</c:v>
                </c:pt>
                <c:pt idx="129">
                  <c:v>8.9227045525963333E-3</c:v>
                </c:pt>
                <c:pt idx="130">
                  <c:v>1.010797404561499E-2</c:v>
                </c:pt>
                <c:pt idx="131">
                  <c:v>1.1261695138242336E-2</c:v>
                </c:pt>
                <c:pt idx="132">
                  <c:v>1.2383883529042142E-2</c:v>
                </c:pt>
                <c:pt idx="133">
                  <c:v>1.3474595774751769E-2</c:v>
                </c:pt>
                <c:pt idx="134">
                  <c:v>1.4533927222949369E-2</c:v>
                </c:pt>
                <c:pt idx="135">
                  <c:v>1.5562009994341666E-2</c:v>
                </c:pt>
                <c:pt idx="136">
                  <c:v>1.6559011014915179E-2</c:v>
                </c:pt>
                <c:pt idx="137">
                  <c:v>1.7525130098117098E-2</c:v>
                </c:pt>
                <c:pt idx="138">
                  <c:v>1.8460598077157164E-2</c:v>
                </c:pt>
                <c:pt idx="139">
                  <c:v>1.9365674987451467E-2</c:v>
                </c:pt>
                <c:pt idx="140">
                  <c:v>2.0240648299162015E-2</c:v>
                </c:pt>
                <c:pt idx="141">
                  <c:v>2.1085831199722072E-2</c:v>
                </c:pt>
                <c:pt idx="142">
                  <c:v>2.1901560926176206E-2</c:v>
                </c:pt>
                <c:pt idx="143">
                  <c:v>2.2688197147107361E-2</c:v>
                </c:pt>
                <c:pt idx="144">
                  <c:v>2.3446120393867897E-2</c:v>
                </c:pt>
                <c:pt idx="145">
                  <c:v>2.4175730540781384E-2</c:v>
                </c:pt>
                <c:pt idx="146">
                  <c:v>2.4877445333932505E-2</c:v>
                </c:pt>
                <c:pt idx="147">
                  <c:v>2.5551698968117834E-2</c:v>
                </c:pt>
                <c:pt idx="148">
                  <c:v>2.6198940711486748E-2</c:v>
                </c:pt>
                <c:pt idx="149">
                  <c:v>2.6819633577362334E-2</c:v>
                </c:pt>
                <c:pt idx="150">
                  <c:v>2.7414253042694486E-2</c:v>
                </c:pt>
                <c:pt idx="151">
                  <c:v>2.7983285812562472E-2</c:v>
                </c:pt>
                <c:pt idx="152">
                  <c:v>2.8527228630112075E-2</c:v>
                </c:pt>
                <c:pt idx="153">
                  <c:v>2.9046587131282414E-2</c:v>
                </c:pt>
                <c:pt idx="154">
                  <c:v>2.9541874743649624E-2</c:v>
                </c:pt>
                <c:pt idx="155">
                  <c:v>3.0013611628689485E-2</c:v>
                </c:pt>
                <c:pt idx="156">
                  <c:v>3.0462323666737692E-2</c:v>
                </c:pt>
                <c:pt idx="157">
                  <c:v>3.0888541483905088E-2</c:v>
                </c:pt>
                <c:pt idx="158">
                  <c:v>3.1292799520186321E-2</c:v>
                </c:pt>
                <c:pt idx="159">
                  <c:v>3.1675635137982994E-2</c:v>
                </c:pt>
                <c:pt idx="160">
                  <c:v>3.2037587770246984E-2</c:v>
                </c:pt>
                <c:pt idx="161">
                  <c:v>3.2379198107436238E-2</c:v>
                </c:pt>
                <c:pt idx="162">
                  <c:v>3.2701007322463033E-2</c:v>
                </c:pt>
                <c:pt idx="163">
                  <c:v>3.3003556332805384E-2</c:v>
                </c:pt>
                <c:pt idx="164">
                  <c:v>3.3287385098942676E-2</c:v>
                </c:pt>
                <c:pt idx="165">
                  <c:v>3.3553031958270405E-2</c:v>
                </c:pt>
                <c:pt idx="166">
                  <c:v>3.3801032993642635E-2</c:v>
                </c:pt>
                <c:pt idx="167">
                  <c:v>3.4031921435687146E-2</c:v>
                </c:pt>
                <c:pt idx="168">
                  <c:v>3.4246227098035029E-2</c:v>
                </c:pt>
                <c:pt idx="169">
                  <c:v>3.4444475844604791E-2</c:v>
                </c:pt>
                <c:pt idx="170">
                  <c:v>3.4627189088081309E-2</c:v>
                </c:pt>
                <c:pt idx="171">
                  <c:v>3.4794883318729694E-2</c:v>
                </c:pt>
                <c:pt idx="172">
                  <c:v>3.4948069662687056E-2</c:v>
                </c:pt>
                <c:pt idx="173">
                  <c:v>3.5087253468877158E-2</c:v>
                </c:pt>
                <c:pt idx="174">
                  <c:v>3.5212933923697926E-2</c:v>
                </c:pt>
                <c:pt idx="175">
                  <c:v>3.5325603692635141E-2</c:v>
                </c:pt>
                <c:pt idx="176">
                  <c:v>3.5425748587962699E-2</c:v>
                </c:pt>
                <c:pt idx="177">
                  <c:v>3.551384726169575E-2</c:v>
                </c:pt>
                <c:pt idx="178">
                  <c:v>3.5590370922970307E-2</c:v>
                </c:pt>
                <c:pt idx="179">
                  <c:v>3.565578307903125E-2</c:v>
                </c:pt>
                <c:pt idx="180">
                  <c:v>3.5710539299019059E-2</c:v>
                </c:pt>
                <c:pt idx="181">
                  <c:v>3.5755086999755256E-2</c:v>
                </c:pt>
                <c:pt idx="182">
                  <c:v>3.578986525273653E-2</c:v>
                </c:pt>
                <c:pt idx="183">
                  <c:v>3.5815304611557811E-2</c:v>
                </c:pt>
                <c:pt idx="184">
                  <c:v>3.5831826958995783E-2</c:v>
                </c:pt>
                <c:pt idx="185">
                  <c:v>3.5839845372995949E-2</c:v>
                </c:pt>
                <c:pt idx="186">
                  <c:v>3.5839764010818079E-2</c:v>
                </c:pt>
                <c:pt idx="187">
                  <c:v>3.5831978010607543E-2</c:v>
                </c:pt>
                <c:pt idx="188">
                  <c:v>3.5816873409672295E-2</c:v>
                </c:pt>
                <c:pt idx="189">
                  <c:v>3.5794827078758959E-2</c:v>
                </c:pt>
                <c:pt idx="190">
                  <c:v>3.5766206671634382E-2</c:v>
                </c:pt>
                <c:pt idx="191">
                  <c:v>3.5731370589292627E-2</c:v>
                </c:pt>
                <c:pt idx="192">
                  <c:v>3.5690667958121453E-2</c:v>
                </c:pt>
                <c:pt idx="193">
                  <c:v>3.5644438621376409E-2</c:v>
                </c:pt>
                <c:pt idx="194">
                  <c:v>3.5593013143324553E-2</c:v>
                </c:pt>
                <c:pt idx="195">
                  <c:v>3.5536712825434594E-2</c:v>
                </c:pt>
                <c:pt idx="196">
                  <c:v>3.5475849734004458E-2</c:v>
                </c:pt>
                <c:pt idx="197">
                  <c:v>3.5410726738632103E-2</c:v>
                </c:pt>
                <c:pt idx="198">
                  <c:v>3.5341637560949893E-2</c:v>
                </c:pt>
                <c:pt idx="199">
                  <c:v>3.5268866833057674E-2</c:v>
                </c:pt>
                <c:pt idx="200">
                  <c:v>3.5192690165104415E-2</c:v>
                </c:pt>
                <c:pt idx="201">
                  <c:v>3.5113374221482987E-2</c:v>
                </c:pt>
                <c:pt idx="202">
                  <c:v>3.503117680511747E-2</c:v>
                </c:pt>
                <c:pt idx="203">
                  <c:v>3.4946346949336987E-2</c:v>
                </c:pt>
                <c:pt idx="204">
                  <c:v>3.4859125016845002E-2</c:v>
                </c:pt>
                <c:pt idx="205">
                  <c:v>3.4769742805306952E-2</c:v>
                </c:pt>
                <c:pt idx="206">
                  <c:v>3.4678423659094654E-2</c:v>
                </c:pt>
                <c:pt idx="207">
                  <c:v>3.4585382586739141E-2</c:v>
                </c:pt>
                <c:pt idx="208">
                  <c:v>3.4490826383658815E-2</c:v>
                </c:pt>
                <c:pt idx="209">
                  <c:v>3.4394953759743621E-2</c:v>
                </c:pt>
                <c:pt idx="210">
                  <c:v>3.4297955471389793E-2</c:v>
                </c:pt>
                <c:pt idx="211">
                  <c:v>3.4200014457594116E-2</c:v>
                </c:pt>
                <c:pt idx="212">
                  <c:v>3.4101305979729754E-2</c:v>
                </c:pt>
                <c:pt idx="213">
                  <c:v>3.4001997764639885E-2</c:v>
                </c:pt>
                <c:pt idx="214">
                  <c:v>3.3902250150698213E-2</c:v>
                </c:pt>
                <c:pt idx="215">
                  <c:v>3.3802216236499039E-2</c:v>
                </c:pt>
                <c:pt idx="216">
                  <c:v>3.3702042031852231E-2</c:v>
                </c:pt>
                <c:pt idx="217">
                  <c:v>3.3601866610771372E-2</c:v>
                </c:pt>
                <c:pt idx="218">
                  <c:v>3.3501822266156125E-2</c:v>
                </c:pt>
                <c:pt idx="219">
                  <c:v>3.3402034665881722E-2</c:v>
                </c:pt>
                <c:pt idx="220">
                  <c:v>3.3302623010021071E-2</c:v>
                </c:pt>
                <c:pt idx="221">
                  <c:v>3.3203700188936744E-2</c:v>
                </c:pt>
                <c:pt idx="222">
                  <c:v>3.3105372941991618E-2</c:v>
                </c:pt>
                <c:pt idx="223">
                  <c:v>3.3007742016638544E-2</c:v>
                </c:pt>
                <c:pt idx="224">
                  <c:v>3.2910902327660599E-2</c:v>
                </c:pt>
                <c:pt idx="225">
                  <c:v>3.2814943116344295E-2</c:v>
                </c:pt>
                <c:pt idx="226">
                  <c:v>3.2719948109379032E-2</c:v>
                </c:pt>
                <c:pt idx="227">
                  <c:v>3.2625995677286176E-2</c:v>
                </c:pt>
                <c:pt idx="228">
                  <c:v>3.2533158992191877E-2</c:v>
                </c:pt>
                <c:pt idx="229">
                  <c:v>3.2441506184767044E-2</c:v>
                </c:pt>
                <c:pt idx="230">
                  <c:v>3.2351100500168206E-2</c:v>
                </c:pt>
                <c:pt idx="231">
                  <c:v>3.2262000452821932E-2</c:v>
                </c:pt>
                <c:pt idx="232">
                  <c:v>3.2174259979905084E-2</c:v>
                </c:pt>
                <c:pt idx="233">
                  <c:v>3.2087928593381748E-2</c:v>
                </c:pt>
                <c:pt idx="234">
                  <c:v>3.2003051530466578E-2</c:v>
                </c:pt>
                <c:pt idx="235">
                  <c:v>3.1919669902392825E-2</c:v>
                </c:pt>
                <c:pt idx="236">
                  <c:v>3.1837820841371073E-2</c:v>
                </c:pt>
                <c:pt idx="237">
                  <c:v>3.1757537645633271E-2</c:v>
                </c:pt>
                <c:pt idx="238">
                  <c:v>3.1678849922463753E-2</c:v>
                </c:pt>
                <c:pt idx="239">
                  <c:v>3.1601783729126573E-2</c:v>
                </c:pt>
                <c:pt idx="240">
                  <c:v>3.1526361711606027E-2</c:v>
                </c:pt>
                <c:pt idx="241">
                  <c:v>3.1452603241083524E-2</c:v>
                </c:pt>
                <c:pt idx="242">
                  <c:v>3.138052454808124E-2</c:v>
                </c:pt>
                <c:pt idx="243">
                  <c:v>3.1310138854209316E-2</c:v>
                </c:pt>
                <c:pt idx="244">
                  <c:v>3.1241456501459389E-2</c:v>
                </c:pt>
                <c:pt idx="245">
                  <c:v>3.1174485078993633E-2</c:v>
                </c:pt>
                <c:pt idx="246">
                  <c:v>3.110922954738396E-2</c:v>
                </c:pt>
                <c:pt idx="247">
                  <c:v>3.1045692360261876E-2</c:v>
                </c:pt>
                <c:pt idx="248">
                  <c:v>3.0983873583344521E-2</c:v>
                </c:pt>
                <c:pt idx="249">
                  <c:v>3.0923771010807871E-2</c:v>
                </c:pt>
                <c:pt idx="250">
                  <c:v>3.0865380278982904E-2</c:v>
                </c:pt>
                <c:pt idx="251">
                  <c:v>3.0808694977354972E-2</c:v>
                </c:pt>
                <c:pt idx="252">
                  <c:v>3.0753706756851767E-2</c:v>
                </c:pt>
                <c:pt idx="253">
                  <c:v>3.0700405435408737E-2</c:v>
                </c:pt>
                <c:pt idx="254">
                  <c:v>3.0648779100805768E-2</c:v>
                </c:pt>
                <c:pt idx="255">
                  <c:v>3.0598814210772166E-2</c:v>
                </c:pt>
                <c:pt idx="256">
                  <c:v>3.0550495690361348E-2</c:v>
                </c:pt>
                <c:pt idx="257">
                  <c:v>3.0503807026599425E-2</c:v>
                </c:pt>
                <c:pt idx="258">
                  <c:v>3.0458730360416172E-2</c:v>
                </c:pt>
                <c:pt idx="259">
                  <c:v>3.0415246575869234E-2</c:v>
                </c:pt>
                <c:pt idx="260">
                  <c:v>3.0373335386675915E-2</c:v>
                </c:pt>
                <c:pt idx="261">
                  <c:v>3.0332975420069658E-2</c:v>
                </c:pt>
                <c:pt idx="262">
                  <c:v>3.0294144298000966E-2</c:v>
                </c:pt>
                <c:pt idx="263">
                  <c:v>3.0256818715705139E-2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533-4F49-87A1-EEF509FB0D0C}"/>
            </c:ext>
          </c:extLst>
        </c:ser>
        <c:ser>
          <c:idx val="15"/>
          <c:order val="4"/>
          <c:tx>
            <c:strRef>
              <c:f>'Second Order V3'!$Q$6</c:f>
              <c:strCache>
                <c:ptCount val="1"/>
                <c:pt idx="0">
                  <c:v>Pdown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V3'!$Q$7:$Q$270</c:f>
              <c:numCache>
                <c:formatCode>General</c:formatCode>
                <c:ptCount val="264"/>
                <c:pt idx="0">
                  <c:v>0.72762480938978247</c:v>
                </c:pt>
                <c:pt idx="1">
                  <c:v>0.72762480938978247</c:v>
                </c:pt>
                <c:pt idx="2">
                  <c:v>0.72762480938978247</c:v>
                </c:pt>
                <c:pt idx="3">
                  <c:v>0.72762480938978247</c:v>
                </c:pt>
                <c:pt idx="4">
                  <c:v>0.72762480938978247</c:v>
                </c:pt>
                <c:pt idx="5">
                  <c:v>0.72762480938978247</c:v>
                </c:pt>
                <c:pt idx="6">
                  <c:v>0.72762480938978247</c:v>
                </c:pt>
                <c:pt idx="7">
                  <c:v>0.71286940027189782</c:v>
                </c:pt>
                <c:pt idx="8">
                  <c:v>0.69847830350319173</c:v>
                </c:pt>
                <c:pt idx="9">
                  <c:v>0.68444252417971363</c:v>
                </c:pt>
                <c:pt idx="10">
                  <c:v>0.67075328948248325</c:v>
                </c:pt>
                <c:pt idx="11">
                  <c:v>0.65740204319419226</c:v>
                </c:pt>
                <c:pt idx="12">
                  <c:v>0.64438044035129061</c:v>
                </c:pt>
                <c:pt idx="13">
                  <c:v>0.63168034202811219</c:v>
                </c:pt>
                <c:pt idx="14">
                  <c:v>0.61929381024978192</c:v>
                </c:pt>
                <c:pt idx="15">
                  <c:v>0.60721310303072262</c:v>
                </c:pt>
                <c:pt idx="16">
                  <c:v>0.59543066953566171</c:v>
                </c:pt>
                <c:pt idx="17">
                  <c:v>0.58393914536011415</c:v>
                </c:pt>
                <c:pt idx="18">
                  <c:v>0.57273134792738944</c:v>
                </c:pt>
                <c:pt idx="19">
                  <c:v>0.56180027199924742</c:v>
                </c:pt>
                <c:pt idx="20">
                  <c:v>0.55113908529739608</c:v>
                </c:pt>
                <c:pt idx="21">
                  <c:v>0.54074112423309584</c:v>
                </c:pt>
                <c:pt idx="22">
                  <c:v>0.53059988974219918</c:v>
                </c:pt>
                <c:pt idx="23">
                  <c:v>0.52070904322302403</c:v>
                </c:pt>
                <c:pt idx="24">
                  <c:v>0.51106240257452162</c:v>
                </c:pt>
                <c:pt idx="25">
                  <c:v>0.5016539383322618</c:v>
                </c:pt>
                <c:pt idx="26">
                  <c:v>0.49247776989982156</c:v>
                </c:pt>
                <c:pt idx="27">
                  <c:v>0.48352816187322117</c:v>
                </c:pt>
                <c:pt idx="28">
                  <c:v>0.47479952045610946</c:v>
                </c:pt>
                <c:pt idx="29">
                  <c:v>0.46628638996345945</c:v>
                </c:pt>
                <c:pt idx="30">
                  <c:v>0.4579834494115872</c:v>
                </c:pt>
                <c:pt idx="31">
                  <c:v>0.44988550919236425</c:v>
                </c:pt>
                <c:pt idx="32">
                  <c:v>0.44198750782954316</c:v>
                </c:pt>
                <c:pt idx="33">
                  <c:v>0.4342845088151705</c:v>
                </c:pt>
                <c:pt idx="34">
                  <c:v>0.42677169752410832</c:v>
                </c:pt>
                <c:pt idx="35">
                  <c:v>0.41944437820473707</c:v>
                </c:pt>
                <c:pt idx="36">
                  <c:v>0.41229797104395755</c:v>
                </c:pt>
                <c:pt idx="37">
                  <c:v>0.40532800930465901</c:v>
                </c:pt>
                <c:pt idx="38">
                  <c:v>0.39853013653386293</c:v>
                </c:pt>
                <c:pt idx="39">
                  <c:v>0.39190010383979801</c:v>
                </c:pt>
                <c:pt idx="40">
                  <c:v>0.38543376723620459</c:v>
                </c:pt>
                <c:pt idx="41">
                  <c:v>0.37912708505220832</c:v>
                </c:pt>
                <c:pt idx="42">
                  <c:v>0.37297611540614428</c:v>
                </c:pt>
                <c:pt idx="43">
                  <c:v>0.36697701374175251</c:v>
                </c:pt>
                <c:pt idx="44">
                  <c:v>0.36112603042520569</c:v>
                </c:pt>
                <c:pt idx="45">
                  <c:v>0.35541950840146508</c:v>
                </c:pt>
                <c:pt idx="46">
                  <c:v>0.34985388090850289</c:v>
                </c:pt>
                <c:pt idx="47">
                  <c:v>0.34442566924795948</c:v>
                </c:pt>
                <c:pt idx="48">
                  <c:v>0.33913148061084369</c:v>
                </c:pt>
                <c:pt idx="49">
                  <c:v>0.33396800595691695</c:v>
                </c:pt>
                <c:pt idx="50">
                  <c:v>0.32893201794643512</c:v>
                </c:pt>
                <c:pt idx="51">
                  <c:v>0.32402036892295633</c:v>
                </c:pt>
                <c:pt idx="52">
                  <c:v>0.31922998894595317</c:v>
                </c:pt>
                <c:pt idx="53">
                  <c:v>0.31455788387200001</c:v>
                </c:pt>
                <c:pt idx="54">
                  <c:v>0.31000113348333552</c:v>
                </c:pt>
                <c:pt idx="55">
                  <c:v>0.30555688966263211</c:v>
                </c:pt>
                <c:pt idx="56">
                  <c:v>0.30122237461282941</c:v>
                </c:pt>
                <c:pt idx="57">
                  <c:v>0.29699487912092093</c:v>
                </c:pt>
                <c:pt idx="58">
                  <c:v>0.29287176086460742</c:v>
                </c:pt>
                <c:pt idx="59">
                  <c:v>0.28885044276075988</c:v>
                </c:pt>
                <c:pt idx="60">
                  <c:v>0.28492841135465841</c:v>
                </c:pt>
                <c:pt idx="61">
                  <c:v>0.28110321524900123</c:v>
                </c:pt>
                <c:pt idx="62">
                  <c:v>0.27737246357170159</c:v>
                </c:pt>
                <c:pt idx="63">
                  <c:v>0.27373382448151501</c:v>
                </c:pt>
                <c:pt idx="64">
                  <c:v>0.27018502371056219</c:v>
                </c:pt>
                <c:pt idx="65">
                  <c:v>0.26672384314283815</c:v>
                </c:pt>
                <c:pt idx="66">
                  <c:v>0.263348119427817</c:v>
                </c:pt>
                <c:pt idx="67">
                  <c:v>0.26005574262828779</c:v>
                </c:pt>
                <c:pt idx="68">
                  <c:v>0.25684465490157482</c:v>
                </c:pt>
                <c:pt idx="69">
                  <c:v>0.25371284921331921</c:v>
                </c:pt>
                <c:pt idx="70">
                  <c:v>0.25065836808301672</c:v>
                </c:pt>
                <c:pt idx="71">
                  <c:v>0.24767930236052921</c:v>
                </c:pt>
                <c:pt idx="72">
                  <c:v>0.24477379003280331</c:v>
                </c:pt>
                <c:pt idx="73">
                  <c:v>0.24194001506005175</c:v>
                </c:pt>
                <c:pt idx="74">
                  <c:v>0.23917620624066926</c:v>
                </c:pt>
                <c:pt idx="75">
                  <c:v>0.23648063610417425</c:v>
                </c:pt>
                <c:pt idx="76">
                  <c:v>0.23385161983148312</c:v>
                </c:pt>
                <c:pt idx="77">
                  <c:v>0.23128751420184362</c:v>
                </c:pt>
                <c:pt idx="78">
                  <c:v>0.2287867165657686</c:v>
                </c:pt>
                <c:pt idx="79">
                  <c:v>0.22634766384332761</c:v>
                </c:pt>
                <c:pt idx="80">
                  <c:v>0.22396883154717123</c:v>
                </c:pt>
                <c:pt idx="81">
                  <c:v>0.22164873282967679</c:v>
                </c:pt>
                <c:pt idx="82">
                  <c:v>0.21938591755362025</c:v>
                </c:pt>
                <c:pt idx="83">
                  <c:v>0.21717897138579312</c:v>
                </c:pt>
                <c:pt idx="84">
                  <c:v>0.2150265149129984</c:v>
                </c:pt>
                <c:pt idx="85">
                  <c:v>0.2129272027798722</c:v>
                </c:pt>
                <c:pt idx="86">
                  <c:v>0.21087972284799289</c:v>
                </c:pt>
                <c:pt idx="87">
                  <c:v>0.20888279537575183</c:v>
                </c:pt>
                <c:pt idx="88">
                  <c:v>0.20693517221847352</c:v>
                </c:pt>
                <c:pt idx="89">
                  <c:v>0.20503563604828406</c:v>
                </c:pt>
                <c:pt idx="90">
                  <c:v>0.20318299959324188</c:v>
                </c:pt>
                <c:pt idx="91">
                  <c:v>0.20137610489525426</c:v>
                </c:pt>
                <c:pt idx="92">
                  <c:v>0.19961382258631549</c:v>
                </c:pt>
                <c:pt idx="93">
                  <c:v>0.1978950511826153</c:v>
                </c:pt>
                <c:pt idx="94">
                  <c:v>0.19621871639607563</c:v>
                </c:pt>
                <c:pt idx="95">
                  <c:v>0.19458377046288566</c:v>
                </c:pt>
                <c:pt idx="96">
                  <c:v>0.19298919148861504</c:v>
                </c:pt>
                <c:pt idx="97">
                  <c:v>0.19143398280949697</c:v>
                </c:pt>
                <c:pt idx="98">
                  <c:v>0.18991717236948058</c:v>
                </c:pt>
                <c:pt idx="99">
                  <c:v>0.18843781211266453</c:v>
                </c:pt>
                <c:pt idx="100">
                  <c:v>0.18699497739073112</c:v>
                </c:pt>
                <c:pt idx="101">
                  <c:v>0.18558776638501073</c:v>
                </c:pt>
                <c:pt idx="102">
                  <c:v>0.18421529954281635</c:v>
                </c:pt>
                <c:pt idx="103">
                  <c:v>0.18287671902769392</c:v>
                </c:pt>
                <c:pt idx="104">
                  <c:v>0.18157118818324702</c:v>
                </c:pt>
                <c:pt idx="105">
                  <c:v>0.18029789101019922</c:v>
                </c:pt>
                <c:pt idx="106">
                  <c:v>0.17905603165636808</c:v>
                </c:pt>
                <c:pt idx="107">
                  <c:v>0.17784483391923145</c:v>
                </c:pt>
                <c:pt idx="108">
                  <c:v>0.17666354076077584</c:v>
                </c:pt>
                <c:pt idx="109">
                  <c:v>0.17551141383432278</c:v>
                </c:pt>
                <c:pt idx="110">
                  <c:v>0.17438773302303839</c:v>
                </c:pt>
                <c:pt idx="111">
                  <c:v>0.17329179598983668</c:v>
                </c:pt>
                <c:pt idx="112">
                  <c:v>0.17222291773839615</c:v>
                </c:pt>
                <c:pt idx="113">
                  <c:v>0.17118043018501466</c:v>
                </c:pt>
                <c:pt idx="114">
                  <c:v>0.17016368174103555</c:v>
                </c:pt>
                <c:pt idx="115">
                  <c:v>0.16917203690558336</c:v>
                </c:pt>
                <c:pt idx="116">
                  <c:v>0.16820487586835509</c:v>
                </c:pt>
                <c:pt idx="117">
                  <c:v>0.16726159412221875</c:v>
                </c:pt>
                <c:pt idx="118">
                  <c:v>0.16634160208537663</c:v>
                </c:pt>
                <c:pt idx="119">
                  <c:v>0.16544432473285736</c:v>
                </c:pt>
                <c:pt idx="120">
                  <c:v>0.16456920123710678</c:v>
                </c:pt>
                <c:pt idx="121">
                  <c:v>0.16371568461745234</c:v>
                </c:pt>
                <c:pt idx="122">
                  <c:v>0.16288324139822241</c:v>
                </c:pt>
                <c:pt idx="123">
                  <c:v>0.16207135127530675</c:v>
                </c:pt>
                <c:pt idx="124">
                  <c:v>0.16127950679094918</c:v>
                </c:pt>
                <c:pt idx="125">
                  <c:v>0.16050721301657028</c:v>
                </c:pt>
                <c:pt idx="126">
                  <c:v>0.15975398724342077</c:v>
                </c:pt>
                <c:pt idx="127">
                  <c:v>0.15901935868087286</c:v>
                </c:pt>
                <c:pt idx="128">
                  <c:v>0.15830286816216071</c:v>
                </c:pt>
                <c:pt idx="129">
                  <c:v>0.15760406785738645</c:v>
                </c:pt>
                <c:pt idx="130">
                  <c:v>0.1569225209936117</c:v>
                </c:pt>
                <c:pt idx="131">
                  <c:v>0.15625780158186037</c:v>
                </c:pt>
                <c:pt idx="132">
                  <c:v>0.15560949415086167</c:v>
                </c:pt>
                <c:pt idx="133">
                  <c:v>0.15497719348736699</c:v>
                </c:pt>
                <c:pt idx="134">
                  <c:v>0.15436050438287854</c:v>
                </c:pt>
                <c:pt idx="135">
                  <c:v>0.1537590413866311</c:v>
                </c:pt>
                <c:pt idx="136">
                  <c:v>0.15317242856467267</c:v>
                </c:pt>
                <c:pt idx="137">
                  <c:v>0.15260029926489371</c:v>
                </c:pt>
                <c:pt idx="138">
                  <c:v>0.1520422958878575</c:v>
                </c:pt>
                <c:pt idx="139">
                  <c:v>0.15149806966328877</c:v>
                </c:pt>
                <c:pt idx="140">
                  <c:v>0.15096728043208113</c:v>
                </c:pt>
                <c:pt idx="141">
                  <c:v>0.15044959643368644</c:v>
                </c:pt>
                <c:pt idx="142">
                  <c:v>0.14994469409875361</c:v>
                </c:pt>
                <c:pt idx="143">
                  <c:v>0.14945225784688743</c:v>
                </c:pt>
                <c:pt idx="144">
                  <c:v>0.1489719798894002</c:v>
                </c:pt>
                <c:pt idx="145">
                  <c:v>0.14850356003693421</c:v>
                </c:pt>
                <c:pt idx="146">
                  <c:v>0.14804670551183327</c:v>
                </c:pt>
                <c:pt idx="147">
                  <c:v>0.14760113076514736</c:v>
                </c:pt>
                <c:pt idx="148">
                  <c:v>0.14716655729815503</c:v>
                </c:pt>
                <c:pt idx="149">
                  <c:v>0.14674271348829293</c:v>
                </c:pt>
                <c:pt idx="150">
                  <c:v>0.14632933441938256</c:v>
                </c:pt>
                <c:pt idx="151">
                  <c:v>0.14592616171604922</c:v>
                </c:pt>
                <c:pt idx="152">
                  <c:v>0.14553294338222894</c:v>
                </c:pt>
                <c:pt idx="153">
                  <c:v>0.14514943364366278</c:v>
                </c:pt>
                <c:pt idx="154">
                  <c:v>0.14477539279427981</c:v>
                </c:pt>
                <c:pt idx="155">
                  <c:v>0.14441058704637311</c:v>
                </c:pt>
                <c:pt idx="156">
                  <c:v>0.14405478838447477</c:v>
                </c:pt>
                <c:pt idx="157">
                  <c:v>0.14370777442283894</c:v>
                </c:pt>
                <c:pt idx="158">
                  <c:v>0.14336932826644327</c:v>
                </c:pt>
                <c:pt idx="159">
                  <c:v>0.14303923837542271</c:v>
                </c:pt>
                <c:pt idx="160">
                  <c:v>0.14271729843284997</c:v>
                </c:pt>
                <c:pt idx="161">
                  <c:v>0.14240330721578096</c:v>
                </c:pt>
                <c:pt idx="162">
                  <c:v>0.14209706846948372</c:v>
                </c:pt>
                <c:pt idx="163">
                  <c:v>0.14179839078477285</c:v>
                </c:pt>
                <c:pt idx="164">
                  <c:v>0.14150708747837271</c:v>
                </c:pt>
                <c:pt idx="165">
                  <c:v>0.14122297647623402</c:v>
                </c:pt>
                <c:pt idx="166">
                  <c:v>0.14094588019973187</c:v>
                </c:pt>
                <c:pt idx="167">
                  <c:v>0.14067562545467316</c:v>
                </c:pt>
                <c:pt idx="168">
                  <c:v>0.14041204332304469</c:v>
                </c:pt>
                <c:pt idx="169">
                  <c:v>0.14015496905743391</c:v>
                </c:pt>
                <c:pt idx="170">
                  <c:v>0.13990424197805632</c:v>
                </c:pt>
                <c:pt idx="171">
                  <c:v>0.13965970537232542</c:v>
                </c:pt>
                <c:pt idx="172">
                  <c:v>0.13942120639690231</c:v>
                </c:pt>
                <c:pt idx="173">
                  <c:v>0.13918859598216354</c:v>
                </c:pt>
                <c:pt idx="174">
                  <c:v>0.13896172873902779</c:v>
                </c:pt>
                <c:pt idx="175">
                  <c:v>0.13874046286808298</c:v>
                </c:pt>
                <c:pt idx="176">
                  <c:v>0.13852466007095693</c:v>
                </c:pt>
                <c:pt idx="177">
                  <c:v>0.13831418546387642</c:v>
                </c:pt>
                <c:pt idx="178">
                  <c:v>0.13810890749336058</c:v>
                </c:pt>
                <c:pt idx="179">
                  <c:v>0.1379086978539954</c:v>
                </c:pt>
                <c:pt idx="180">
                  <c:v>0.13771343140823888</c:v>
                </c:pt>
                <c:pt idx="181">
                  <c:v>0.13752298610820607</c:v>
                </c:pt>
                <c:pt idx="182">
                  <c:v>0.13733724291938482</c:v>
                </c:pt>
                <c:pt idx="183">
                  <c:v>0.13715608574623572</c:v>
                </c:pt>
                <c:pt idx="184">
                  <c:v>0.13697940135962836</c:v>
                </c:pt>
                <c:pt idx="185">
                  <c:v>0.13680707932606956</c:v>
                </c:pt>
                <c:pt idx="186">
                  <c:v>0.13663901193867878</c:v>
                </c:pt>
                <c:pt idx="187">
                  <c:v>0.13647509414986786</c:v>
                </c:pt>
                <c:pt idx="188">
                  <c:v>0.13631522350568279</c:v>
                </c:pt>
                <c:pt idx="189">
                  <c:v>0.13615930008176674</c:v>
                </c:pt>
                <c:pt idx="190">
                  <c:v>0.13600722642090401</c:v>
                </c:pt>
                <c:pt idx="191">
                  <c:v>0.13585890747210616</c:v>
                </c:pt>
                <c:pt idx="192">
                  <c:v>0.13571425053120201</c:v>
                </c:pt>
                <c:pt idx="193">
                  <c:v>0.13557316518289447</c:v>
                </c:pt>
                <c:pt idx="194">
                  <c:v>0.13543556324424821</c:v>
                </c:pt>
                <c:pt idx="195">
                  <c:v>0.13530135870957216</c:v>
                </c:pt>
                <c:pt idx="196">
                  <c:v>0.13517046769666347</c:v>
                </c:pt>
                <c:pt idx="197">
                  <c:v>0.13504280839437816</c:v>
                </c:pt>
                <c:pt idx="198">
                  <c:v>0.13491830101149671</c:v>
                </c:pt>
                <c:pt idx="199">
                  <c:v>0.1347968677268517</c:v>
                </c:pt>
                <c:pt idx="200">
                  <c:v>0.1346784326406873</c:v>
                </c:pt>
                <c:pt idx="201">
                  <c:v>0.13456292172721918</c:v>
                </c:pt>
                <c:pt idx="202">
                  <c:v>0.1344502627883663</c:v>
                </c:pt>
                <c:pt idx="203">
                  <c:v>0.13434038540862453</c:v>
                </c:pt>
                <c:pt idx="204">
                  <c:v>0.13423322091105463</c:v>
                </c:pt>
                <c:pt idx="205">
                  <c:v>0.1341287023143572</c:v>
                </c:pt>
                <c:pt idx="206">
                  <c:v>0.13402676429100691</c:v>
                </c:pt>
                <c:pt idx="207">
                  <c:v>0.13392734312642079</c:v>
                </c:pt>
                <c:pt idx="208">
                  <c:v>0.13383037667913453</c:v>
                </c:pt>
                <c:pt idx="209">
                  <c:v>0.13373580434196208</c:v>
                </c:pt>
                <c:pt idx="210">
                  <c:v>0.13364356700411412</c:v>
                </c:pt>
                <c:pt idx="211">
                  <c:v>0.13355360701425184</c:v>
                </c:pt>
                <c:pt idx="212">
                  <c:v>0.13346586814445324</c:v>
                </c:pt>
                <c:pt idx="213">
                  <c:v>0.13338029555506847</c:v>
                </c:pt>
                <c:pt idx="214">
                  <c:v>0.1332968357604436</c:v>
                </c:pt>
                <c:pt idx="215">
                  <c:v>0.13321543659549012</c:v>
                </c:pt>
                <c:pt idx="216">
                  <c:v>0.13313604718308014</c:v>
                </c:pt>
                <c:pt idx="217">
                  <c:v>0.1330586179022466</c:v>
                </c:pt>
                <c:pt idx="218">
                  <c:v>0.13298310035716843</c:v>
                </c:pt>
                <c:pt idx="219">
                  <c:v>0.13290944734692162</c:v>
                </c:pt>
                <c:pt idx="220">
                  <c:v>0.1328376128359772</c:v>
                </c:pt>
                <c:pt idx="221">
                  <c:v>0.13276755192542739</c:v>
                </c:pt>
                <c:pt idx="222">
                  <c:v>0.13269922082492241</c:v>
                </c:pt>
                <c:pt idx="223">
                  <c:v>0.13263257682530014</c:v>
                </c:pt>
                <c:pt idx="224">
                  <c:v>0.13256757827189131</c:v>
                </c:pt>
                <c:pt idx="225">
                  <c:v>0.13250418453848417</c:v>
                </c:pt>
                <c:pt idx="226">
                  <c:v>0.13244235600193172</c:v>
                </c:pt>
                <c:pt idx="227">
                  <c:v>0.13238205401738587</c:v>
                </c:pt>
                <c:pt idx="228">
                  <c:v>0.13232324089414335</c:v>
                </c:pt>
                <c:pt idx="229">
                  <c:v>0.1322658798720876</c:v>
                </c:pt>
                <c:pt idx="230">
                  <c:v>0.13220993509871251</c:v>
                </c:pt>
                <c:pt idx="231">
                  <c:v>0.13215537160671362</c:v>
                </c:pt>
                <c:pt idx="232">
                  <c:v>0.13210215529213223</c:v>
                </c:pt>
                <c:pt idx="233">
                  <c:v>0.13205025289303937</c:v>
                </c:pt>
                <c:pt idx="234">
                  <c:v>0.13199963196874609</c:v>
                </c:pt>
                <c:pt idx="235">
                  <c:v>0.13195026087952677</c:v>
                </c:pt>
                <c:pt idx="236">
                  <c:v>0.13190210876684355</c:v>
                </c:pt>
                <c:pt idx="237">
                  <c:v>0.13185514553405853</c:v>
                </c:pt>
                <c:pt idx="238">
                  <c:v>0.13180934182762236</c:v>
                </c:pt>
                <c:pt idx="239">
                  <c:v>0.13176466901872755</c:v>
                </c:pt>
                <c:pt idx="240">
                  <c:v>0.1317210991854143</c:v>
                </c:pt>
                <c:pt idx="241">
                  <c:v>0.13167860509511845</c:v>
                </c:pt>
                <c:pt idx="242">
                  <c:v>0.13163716018765026</c:v>
                </c:pt>
                <c:pt idx="243">
                  <c:v>0.1315967385585935</c:v>
                </c:pt>
                <c:pt idx="244">
                  <c:v>0.13155731494311407</c:v>
                </c:pt>
                <c:pt idx="245">
                  <c:v>0.13151886470016899</c:v>
                </c:pt>
                <c:pt idx="246">
                  <c:v>0.13148136379710473</c:v>
                </c:pt>
                <c:pt idx="247">
                  <c:v>0.13144478879463617</c:v>
                </c:pt>
                <c:pt idx="248">
                  <c:v>0.13140911683219614</c:v>
                </c:pt>
                <c:pt idx="249">
                  <c:v>0.13137432561364687</c:v>
                </c:pt>
                <c:pt idx="250">
                  <c:v>0.13134039339334419</c:v>
                </c:pt>
                <c:pt idx="251">
                  <c:v>0.13130729896254589</c:v>
                </c:pt>
                <c:pt idx="252">
                  <c:v>0.13127502163615537</c:v>
                </c:pt>
                <c:pt idx="253">
                  <c:v>0.13124354123979293</c:v>
                </c:pt>
                <c:pt idx="254">
                  <c:v>0.13121283809718604</c:v>
                </c:pt>
                <c:pt idx="255">
                  <c:v>0.13118289301787112</c:v>
                </c:pt>
                <c:pt idx="256">
                  <c:v>0.1311536872851988</c:v>
                </c:pt>
                <c:pt idx="257">
                  <c:v>0.13112520264463545</c:v>
                </c:pt>
                <c:pt idx="258">
                  <c:v>0.13109742129235347</c:v>
                </c:pt>
                <c:pt idx="259">
                  <c:v>0.13107032586410328</c:v>
                </c:pt>
                <c:pt idx="260">
                  <c:v>0.13104389942436021</c:v>
                </c:pt>
                <c:pt idx="261">
                  <c:v>0.13101812545573918</c:v>
                </c:pt>
                <c:pt idx="262">
                  <c:v>0.13099298784867078</c:v>
                </c:pt>
                <c:pt idx="263">
                  <c:v>0.13096847089133229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533-4F49-87A1-EEF509FB0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68616"/>
        <c:axId val="1220569696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1"/>
                <c:tx>
                  <c:strRef>
                    <c:extLst>
                      <c:ext uri="{02D57815-91ED-43cb-92C2-25804820EDAC}">
                        <c15:formulaRef>
                          <c15:sqref>'Second Order V3'!$F$6</c15:sqref>
                        </c15:formulaRef>
                      </c:ext>
                    </c:extLst>
                    <c:strCache>
                      <c:ptCount val="1"/>
                      <c:pt idx="0">
                        <c:v>expecter behavior (min values H and D)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'Second Order V3'!$A$7:$A$270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</c:v>
                      </c:pt>
                      <c:pt idx="1">
                        <c:v>5.0000000000000001E-3</c:v>
                      </c:pt>
                      <c:pt idx="2">
                        <c:v>0.01</c:v>
                      </c:pt>
                      <c:pt idx="3">
                        <c:v>1.4999999999999999E-2</c:v>
                      </c:pt>
                      <c:pt idx="4">
                        <c:v>0.02</c:v>
                      </c:pt>
                      <c:pt idx="5">
                        <c:v>2.5000000000000001E-2</c:v>
                      </c:pt>
                      <c:pt idx="6">
                        <c:v>0.03</c:v>
                      </c:pt>
                      <c:pt idx="7">
                        <c:v>3.5000000000000003E-2</c:v>
                      </c:pt>
                      <c:pt idx="8">
                        <c:v>0.04</c:v>
                      </c:pt>
                      <c:pt idx="9">
                        <c:v>4.4999999999999998E-2</c:v>
                      </c:pt>
                      <c:pt idx="10">
                        <c:v>0.05</c:v>
                      </c:pt>
                      <c:pt idx="11">
                        <c:v>5.5E-2</c:v>
                      </c:pt>
                      <c:pt idx="12">
                        <c:v>0.06</c:v>
                      </c:pt>
                      <c:pt idx="13">
                        <c:v>6.5000000000000002E-2</c:v>
                      </c:pt>
                      <c:pt idx="14">
                        <c:v>7.0000000000000007E-2</c:v>
                      </c:pt>
                      <c:pt idx="15">
                        <c:v>7.4999999999999997E-2</c:v>
                      </c:pt>
                      <c:pt idx="16">
                        <c:v>0.08</c:v>
                      </c:pt>
                      <c:pt idx="17">
                        <c:v>8.5000000000000006E-2</c:v>
                      </c:pt>
                      <c:pt idx="18">
                        <c:v>0.09</c:v>
                      </c:pt>
                      <c:pt idx="19">
                        <c:v>9.5000000000000001E-2</c:v>
                      </c:pt>
                      <c:pt idx="20">
                        <c:v>0.1</c:v>
                      </c:pt>
                      <c:pt idx="21">
                        <c:v>0.105</c:v>
                      </c:pt>
                      <c:pt idx="22">
                        <c:v>0.11</c:v>
                      </c:pt>
                      <c:pt idx="23">
                        <c:v>0.115</c:v>
                      </c:pt>
                      <c:pt idx="24">
                        <c:v>0.12</c:v>
                      </c:pt>
                      <c:pt idx="25">
                        <c:v>0.125</c:v>
                      </c:pt>
                      <c:pt idx="26">
                        <c:v>0.13</c:v>
                      </c:pt>
                      <c:pt idx="27">
                        <c:v>0.13500000000000001</c:v>
                      </c:pt>
                      <c:pt idx="28">
                        <c:v>0.14000000000000001</c:v>
                      </c:pt>
                      <c:pt idx="29">
                        <c:v>0.14499999999999999</c:v>
                      </c:pt>
                      <c:pt idx="30">
                        <c:v>0.15</c:v>
                      </c:pt>
                      <c:pt idx="31">
                        <c:v>0.155</c:v>
                      </c:pt>
                      <c:pt idx="32">
                        <c:v>0.16</c:v>
                      </c:pt>
                      <c:pt idx="33">
                        <c:v>0.16500000000000001</c:v>
                      </c:pt>
                      <c:pt idx="34">
                        <c:v>0.17</c:v>
                      </c:pt>
                      <c:pt idx="35">
                        <c:v>0.17499999999999999</c:v>
                      </c:pt>
                      <c:pt idx="36">
                        <c:v>0.18</c:v>
                      </c:pt>
                      <c:pt idx="37">
                        <c:v>0.185</c:v>
                      </c:pt>
                      <c:pt idx="38">
                        <c:v>0.19</c:v>
                      </c:pt>
                      <c:pt idx="39">
                        <c:v>0.19500000000000001</c:v>
                      </c:pt>
                      <c:pt idx="40">
                        <c:v>0.2</c:v>
                      </c:pt>
                      <c:pt idx="41">
                        <c:v>0.20499999999999999</c:v>
                      </c:pt>
                      <c:pt idx="42">
                        <c:v>0.21</c:v>
                      </c:pt>
                      <c:pt idx="43">
                        <c:v>0.215</c:v>
                      </c:pt>
                      <c:pt idx="44">
                        <c:v>0.22</c:v>
                      </c:pt>
                      <c:pt idx="45">
                        <c:v>0.22500000000000001</c:v>
                      </c:pt>
                      <c:pt idx="46">
                        <c:v>0.23</c:v>
                      </c:pt>
                      <c:pt idx="47">
                        <c:v>0.23499999999999999</c:v>
                      </c:pt>
                      <c:pt idx="48">
                        <c:v>0.24</c:v>
                      </c:pt>
                      <c:pt idx="49">
                        <c:v>0.245</c:v>
                      </c:pt>
                      <c:pt idx="50">
                        <c:v>0.25</c:v>
                      </c:pt>
                      <c:pt idx="51">
                        <c:v>0.255</c:v>
                      </c:pt>
                      <c:pt idx="52">
                        <c:v>0.26</c:v>
                      </c:pt>
                      <c:pt idx="53">
                        <c:v>0.26500000000000001</c:v>
                      </c:pt>
                      <c:pt idx="54">
                        <c:v>0.27</c:v>
                      </c:pt>
                      <c:pt idx="55">
                        <c:v>0.27500000000000002</c:v>
                      </c:pt>
                      <c:pt idx="56">
                        <c:v>0.28000000000000003</c:v>
                      </c:pt>
                      <c:pt idx="57">
                        <c:v>0.28499999999999998</c:v>
                      </c:pt>
                      <c:pt idx="58">
                        <c:v>0.28999999999999998</c:v>
                      </c:pt>
                      <c:pt idx="59">
                        <c:v>0.29499999999999998</c:v>
                      </c:pt>
                      <c:pt idx="60">
                        <c:v>0.3</c:v>
                      </c:pt>
                      <c:pt idx="61">
                        <c:v>0.30499999999999999</c:v>
                      </c:pt>
                      <c:pt idx="62">
                        <c:v>0.31</c:v>
                      </c:pt>
                      <c:pt idx="63">
                        <c:v>0.315</c:v>
                      </c:pt>
                      <c:pt idx="64">
                        <c:v>0.32</c:v>
                      </c:pt>
                      <c:pt idx="65">
                        <c:v>0.32500000000000001</c:v>
                      </c:pt>
                      <c:pt idx="66">
                        <c:v>0.33</c:v>
                      </c:pt>
                      <c:pt idx="67">
                        <c:v>0.33500000000000002</c:v>
                      </c:pt>
                      <c:pt idx="68">
                        <c:v>0.34</c:v>
                      </c:pt>
                      <c:pt idx="69">
                        <c:v>0.34499999999999997</c:v>
                      </c:pt>
                      <c:pt idx="70">
                        <c:v>0.35</c:v>
                      </c:pt>
                      <c:pt idx="71">
                        <c:v>0.35499999999999998</c:v>
                      </c:pt>
                      <c:pt idx="72">
                        <c:v>0.36</c:v>
                      </c:pt>
                      <c:pt idx="73">
                        <c:v>0.36499999999999999</c:v>
                      </c:pt>
                      <c:pt idx="74">
                        <c:v>0.37</c:v>
                      </c:pt>
                      <c:pt idx="75">
                        <c:v>0.375</c:v>
                      </c:pt>
                      <c:pt idx="76">
                        <c:v>0.38</c:v>
                      </c:pt>
                      <c:pt idx="77">
                        <c:v>0.38500000000000001</c:v>
                      </c:pt>
                      <c:pt idx="78">
                        <c:v>0.39</c:v>
                      </c:pt>
                      <c:pt idx="79">
                        <c:v>0.39500000000000002</c:v>
                      </c:pt>
                      <c:pt idx="80">
                        <c:v>0.4</c:v>
                      </c:pt>
                      <c:pt idx="81">
                        <c:v>0.40500000000000003</c:v>
                      </c:pt>
                      <c:pt idx="82">
                        <c:v>0.41</c:v>
                      </c:pt>
                      <c:pt idx="83">
                        <c:v>0.41499999999999998</c:v>
                      </c:pt>
                      <c:pt idx="84">
                        <c:v>0.42</c:v>
                      </c:pt>
                      <c:pt idx="85">
                        <c:v>0.42499999999999999</c:v>
                      </c:pt>
                      <c:pt idx="86">
                        <c:v>0.43</c:v>
                      </c:pt>
                      <c:pt idx="87">
                        <c:v>0.435</c:v>
                      </c:pt>
                      <c:pt idx="88">
                        <c:v>0.44</c:v>
                      </c:pt>
                      <c:pt idx="89">
                        <c:v>0.44500000000000001</c:v>
                      </c:pt>
                      <c:pt idx="90">
                        <c:v>0.45</c:v>
                      </c:pt>
                      <c:pt idx="91">
                        <c:v>0.45500000000000002</c:v>
                      </c:pt>
                      <c:pt idx="92">
                        <c:v>0.46</c:v>
                      </c:pt>
                      <c:pt idx="93">
                        <c:v>0.46500000000000002</c:v>
                      </c:pt>
                      <c:pt idx="94">
                        <c:v>0.47</c:v>
                      </c:pt>
                      <c:pt idx="95">
                        <c:v>0.47499999999999998</c:v>
                      </c:pt>
                      <c:pt idx="96">
                        <c:v>0.48</c:v>
                      </c:pt>
                      <c:pt idx="97">
                        <c:v>0.48499999999999999</c:v>
                      </c:pt>
                      <c:pt idx="98">
                        <c:v>0.49</c:v>
                      </c:pt>
                      <c:pt idx="99">
                        <c:v>0.495</c:v>
                      </c:pt>
                      <c:pt idx="100">
                        <c:v>0.5</c:v>
                      </c:pt>
                      <c:pt idx="101">
                        <c:v>0.505</c:v>
                      </c:pt>
                      <c:pt idx="102">
                        <c:v>0.51</c:v>
                      </c:pt>
                      <c:pt idx="103">
                        <c:v>0.51500000000000001</c:v>
                      </c:pt>
                      <c:pt idx="104">
                        <c:v>0.52</c:v>
                      </c:pt>
                      <c:pt idx="105">
                        <c:v>0.52500000000000002</c:v>
                      </c:pt>
                      <c:pt idx="106">
                        <c:v>0.53</c:v>
                      </c:pt>
                      <c:pt idx="107">
                        <c:v>0.53500000000000003</c:v>
                      </c:pt>
                      <c:pt idx="108">
                        <c:v>0.54</c:v>
                      </c:pt>
                      <c:pt idx="109">
                        <c:v>0.54500000000000004</c:v>
                      </c:pt>
                      <c:pt idx="110">
                        <c:v>0.55000000000000004</c:v>
                      </c:pt>
                      <c:pt idx="111">
                        <c:v>0.55500000000000005</c:v>
                      </c:pt>
                      <c:pt idx="112">
                        <c:v>0.56000000000000005</c:v>
                      </c:pt>
                      <c:pt idx="113">
                        <c:v>0.56499999999999995</c:v>
                      </c:pt>
                      <c:pt idx="114">
                        <c:v>0.56999999999999995</c:v>
                      </c:pt>
                      <c:pt idx="115">
                        <c:v>0.57499999999999996</c:v>
                      </c:pt>
                      <c:pt idx="116">
                        <c:v>0.57999999999999996</c:v>
                      </c:pt>
                      <c:pt idx="117">
                        <c:v>0.58499999999999996</c:v>
                      </c:pt>
                      <c:pt idx="118">
                        <c:v>0.59</c:v>
                      </c:pt>
                      <c:pt idx="119">
                        <c:v>0.59499999999999997</c:v>
                      </c:pt>
                      <c:pt idx="120">
                        <c:v>0.6</c:v>
                      </c:pt>
                      <c:pt idx="121">
                        <c:v>0.60499999999999998</c:v>
                      </c:pt>
                      <c:pt idx="122">
                        <c:v>0.61</c:v>
                      </c:pt>
                      <c:pt idx="123">
                        <c:v>0.61499999999999999</c:v>
                      </c:pt>
                      <c:pt idx="124">
                        <c:v>0.62</c:v>
                      </c:pt>
                      <c:pt idx="125">
                        <c:v>0.625</c:v>
                      </c:pt>
                      <c:pt idx="126">
                        <c:v>0.63</c:v>
                      </c:pt>
                      <c:pt idx="127">
                        <c:v>0.63500000000000001</c:v>
                      </c:pt>
                      <c:pt idx="128">
                        <c:v>0.64</c:v>
                      </c:pt>
                      <c:pt idx="129">
                        <c:v>0.64500000000000002</c:v>
                      </c:pt>
                      <c:pt idx="130">
                        <c:v>0.65</c:v>
                      </c:pt>
                      <c:pt idx="131">
                        <c:v>0.65500000000000003</c:v>
                      </c:pt>
                      <c:pt idx="132">
                        <c:v>0.66</c:v>
                      </c:pt>
                      <c:pt idx="133">
                        <c:v>0.66500000000000004</c:v>
                      </c:pt>
                      <c:pt idx="134">
                        <c:v>0.67</c:v>
                      </c:pt>
                      <c:pt idx="135">
                        <c:v>0.67500000000000004</c:v>
                      </c:pt>
                      <c:pt idx="136">
                        <c:v>0.68</c:v>
                      </c:pt>
                      <c:pt idx="137">
                        <c:v>0.68500000000000005</c:v>
                      </c:pt>
                      <c:pt idx="138">
                        <c:v>0.69</c:v>
                      </c:pt>
                      <c:pt idx="139">
                        <c:v>0.69499999999999995</c:v>
                      </c:pt>
                      <c:pt idx="140">
                        <c:v>0.7</c:v>
                      </c:pt>
                      <c:pt idx="141">
                        <c:v>0.70499999999999996</c:v>
                      </c:pt>
                      <c:pt idx="142">
                        <c:v>0.71</c:v>
                      </c:pt>
                      <c:pt idx="143">
                        <c:v>0.71499999999999997</c:v>
                      </c:pt>
                      <c:pt idx="144">
                        <c:v>0.72</c:v>
                      </c:pt>
                      <c:pt idx="145">
                        <c:v>0.72499999999999998</c:v>
                      </c:pt>
                      <c:pt idx="146">
                        <c:v>0.73</c:v>
                      </c:pt>
                      <c:pt idx="147">
                        <c:v>0.73499999999999999</c:v>
                      </c:pt>
                      <c:pt idx="148">
                        <c:v>0.74</c:v>
                      </c:pt>
                      <c:pt idx="149">
                        <c:v>0.745</c:v>
                      </c:pt>
                      <c:pt idx="150">
                        <c:v>0.75</c:v>
                      </c:pt>
                      <c:pt idx="151">
                        <c:v>0.755</c:v>
                      </c:pt>
                      <c:pt idx="152">
                        <c:v>0.76</c:v>
                      </c:pt>
                      <c:pt idx="153">
                        <c:v>0.76500000000000001</c:v>
                      </c:pt>
                      <c:pt idx="154">
                        <c:v>0.77</c:v>
                      </c:pt>
                      <c:pt idx="155">
                        <c:v>0.77500000000000002</c:v>
                      </c:pt>
                      <c:pt idx="156">
                        <c:v>0.78</c:v>
                      </c:pt>
                      <c:pt idx="157">
                        <c:v>0.78500000000000003</c:v>
                      </c:pt>
                      <c:pt idx="158">
                        <c:v>0.79</c:v>
                      </c:pt>
                      <c:pt idx="159">
                        <c:v>0.79500000000000004</c:v>
                      </c:pt>
                      <c:pt idx="160">
                        <c:v>0.8</c:v>
                      </c:pt>
                      <c:pt idx="161">
                        <c:v>0.80500000000000005</c:v>
                      </c:pt>
                      <c:pt idx="162">
                        <c:v>0.81</c:v>
                      </c:pt>
                      <c:pt idx="163">
                        <c:v>0.81499999999999995</c:v>
                      </c:pt>
                      <c:pt idx="164">
                        <c:v>0.82</c:v>
                      </c:pt>
                      <c:pt idx="165">
                        <c:v>0.82499999999999996</c:v>
                      </c:pt>
                      <c:pt idx="166">
                        <c:v>0.83</c:v>
                      </c:pt>
                      <c:pt idx="167">
                        <c:v>0.83499999999999996</c:v>
                      </c:pt>
                      <c:pt idx="168">
                        <c:v>0.84000000000000097</c:v>
                      </c:pt>
                      <c:pt idx="169">
                        <c:v>0.84500000000000097</c:v>
                      </c:pt>
                      <c:pt idx="170">
                        <c:v>0.85000000000000098</c:v>
                      </c:pt>
                      <c:pt idx="171">
                        <c:v>0.85500000000000098</c:v>
                      </c:pt>
                      <c:pt idx="172">
                        <c:v>0.86000000000000099</c:v>
                      </c:pt>
                      <c:pt idx="173">
                        <c:v>0.86500000000000099</c:v>
                      </c:pt>
                      <c:pt idx="174">
                        <c:v>0.87000000000000099</c:v>
                      </c:pt>
                      <c:pt idx="175">
                        <c:v>0.875000000000001</c:v>
                      </c:pt>
                      <c:pt idx="176">
                        <c:v>0.880000000000001</c:v>
                      </c:pt>
                      <c:pt idx="177">
                        <c:v>0.88500000000000101</c:v>
                      </c:pt>
                      <c:pt idx="178">
                        <c:v>0.89000000000000101</c:v>
                      </c:pt>
                      <c:pt idx="179">
                        <c:v>0.89500000000000102</c:v>
                      </c:pt>
                      <c:pt idx="180">
                        <c:v>0.90000000000000102</c:v>
                      </c:pt>
                      <c:pt idx="181">
                        <c:v>0.90500000000000103</c:v>
                      </c:pt>
                      <c:pt idx="182">
                        <c:v>0.91000000000000103</c:v>
                      </c:pt>
                      <c:pt idx="183">
                        <c:v>0.91500000000000103</c:v>
                      </c:pt>
                      <c:pt idx="184">
                        <c:v>0.92000000000000104</c:v>
                      </c:pt>
                      <c:pt idx="185">
                        <c:v>0.92500000000000104</c:v>
                      </c:pt>
                      <c:pt idx="186">
                        <c:v>0.93000000000000105</c:v>
                      </c:pt>
                      <c:pt idx="187">
                        <c:v>0.93500000000000105</c:v>
                      </c:pt>
                      <c:pt idx="188">
                        <c:v>0.94000000000000095</c:v>
                      </c:pt>
                      <c:pt idx="189">
                        <c:v>0.94500000000000095</c:v>
                      </c:pt>
                      <c:pt idx="190">
                        <c:v>0.95000000000000095</c:v>
                      </c:pt>
                      <c:pt idx="191">
                        <c:v>0.95500000000000096</c:v>
                      </c:pt>
                      <c:pt idx="192">
                        <c:v>0.96000000000000096</c:v>
                      </c:pt>
                      <c:pt idx="193">
                        <c:v>0.96500000000000097</c:v>
                      </c:pt>
                      <c:pt idx="194">
                        <c:v>0.97000000000000097</c:v>
                      </c:pt>
                      <c:pt idx="195">
                        <c:v>0.97500000000000098</c:v>
                      </c:pt>
                      <c:pt idx="196">
                        <c:v>0.98000000000000098</c:v>
                      </c:pt>
                      <c:pt idx="197">
                        <c:v>0.98500000000000099</c:v>
                      </c:pt>
                      <c:pt idx="198">
                        <c:v>0.99000000000000099</c:v>
                      </c:pt>
                      <c:pt idx="199">
                        <c:v>0.99500000000000099</c:v>
                      </c:pt>
                      <c:pt idx="200">
                        <c:v>1</c:v>
                      </c:pt>
                      <c:pt idx="201">
                        <c:v>1.0049999999999999</c:v>
                      </c:pt>
                      <c:pt idx="202">
                        <c:v>1.01</c:v>
                      </c:pt>
                      <c:pt idx="203">
                        <c:v>1.0149999999999999</c:v>
                      </c:pt>
                      <c:pt idx="204">
                        <c:v>1.02</c:v>
                      </c:pt>
                      <c:pt idx="205">
                        <c:v>1.0249999999999999</c:v>
                      </c:pt>
                      <c:pt idx="206">
                        <c:v>1.03</c:v>
                      </c:pt>
                      <c:pt idx="207">
                        <c:v>1.0349999999999999</c:v>
                      </c:pt>
                      <c:pt idx="208">
                        <c:v>1.04</c:v>
                      </c:pt>
                      <c:pt idx="209">
                        <c:v>1.0449999999999999</c:v>
                      </c:pt>
                      <c:pt idx="210">
                        <c:v>1.05</c:v>
                      </c:pt>
                      <c:pt idx="211">
                        <c:v>1.0549999999999999</c:v>
                      </c:pt>
                      <c:pt idx="212">
                        <c:v>1.06</c:v>
                      </c:pt>
                      <c:pt idx="213">
                        <c:v>1.0649999999999999</c:v>
                      </c:pt>
                      <c:pt idx="214">
                        <c:v>1.07</c:v>
                      </c:pt>
                      <c:pt idx="215">
                        <c:v>1.075</c:v>
                      </c:pt>
                      <c:pt idx="216">
                        <c:v>1.08</c:v>
                      </c:pt>
                      <c:pt idx="217">
                        <c:v>1.085</c:v>
                      </c:pt>
                      <c:pt idx="218">
                        <c:v>1.0900000000000001</c:v>
                      </c:pt>
                      <c:pt idx="219">
                        <c:v>1.095</c:v>
                      </c:pt>
                      <c:pt idx="220">
                        <c:v>1.1000000000000001</c:v>
                      </c:pt>
                      <c:pt idx="221">
                        <c:v>1.105</c:v>
                      </c:pt>
                      <c:pt idx="222">
                        <c:v>1.1100000000000001</c:v>
                      </c:pt>
                      <c:pt idx="223">
                        <c:v>1.115</c:v>
                      </c:pt>
                      <c:pt idx="224">
                        <c:v>1.1200000000000001</c:v>
                      </c:pt>
                      <c:pt idx="225">
                        <c:v>1.125</c:v>
                      </c:pt>
                      <c:pt idx="226">
                        <c:v>1.1299999999999999</c:v>
                      </c:pt>
                      <c:pt idx="227">
                        <c:v>1.135</c:v>
                      </c:pt>
                      <c:pt idx="228">
                        <c:v>1.1399999999999999</c:v>
                      </c:pt>
                      <c:pt idx="229">
                        <c:v>1.145</c:v>
                      </c:pt>
                      <c:pt idx="230">
                        <c:v>1.1499999999999999</c:v>
                      </c:pt>
                      <c:pt idx="231">
                        <c:v>1.155</c:v>
                      </c:pt>
                      <c:pt idx="232">
                        <c:v>1.1599999999999999</c:v>
                      </c:pt>
                      <c:pt idx="233">
                        <c:v>1.165</c:v>
                      </c:pt>
                      <c:pt idx="234">
                        <c:v>1.17</c:v>
                      </c:pt>
                      <c:pt idx="235">
                        <c:v>1.175</c:v>
                      </c:pt>
                      <c:pt idx="236">
                        <c:v>1.18</c:v>
                      </c:pt>
                      <c:pt idx="237">
                        <c:v>1.1850000000000001</c:v>
                      </c:pt>
                      <c:pt idx="238">
                        <c:v>1.19</c:v>
                      </c:pt>
                      <c:pt idx="239">
                        <c:v>1.1950000000000001</c:v>
                      </c:pt>
                      <c:pt idx="240">
                        <c:v>1.2</c:v>
                      </c:pt>
                      <c:pt idx="241">
                        <c:v>1.2050000000000001</c:v>
                      </c:pt>
                      <c:pt idx="242">
                        <c:v>1.21</c:v>
                      </c:pt>
                      <c:pt idx="243">
                        <c:v>1.2150000000000001</c:v>
                      </c:pt>
                      <c:pt idx="244">
                        <c:v>1.22</c:v>
                      </c:pt>
                      <c:pt idx="245">
                        <c:v>1.2250000000000001</c:v>
                      </c:pt>
                      <c:pt idx="246">
                        <c:v>1.23</c:v>
                      </c:pt>
                      <c:pt idx="247">
                        <c:v>1.2350000000000001</c:v>
                      </c:pt>
                      <c:pt idx="248">
                        <c:v>1.24</c:v>
                      </c:pt>
                      <c:pt idx="249">
                        <c:v>1.2450000000000001</c:v>
                      </c:pt>
                      <c:pt idx="250">
                        <c:v>1.25</c:v>
                      </c:pt>
                      <c:pt idx="251">
                        <c:v>1.2549999999999999</c:v>
                      </c:pt>
                      <c:pt idx="252">
                        <c:v>1.26</c:v>
                      </c:pt>
                      <c:pt idx="253">
                        <c:v>1.2649999999999999</c:v>
                      </c:pt>
                      <c:pt idx="254">
                        <c:v>1.27</c:v>
                      </c:pt>
                      <c:pt idx="255">
                        <c:v>1.2749999999999999</c:v>
                      </c:pt>
                      <c:pt idx="256">
                        <c:v>1.28</c:v>
                      </c:pt>
                      <c:pt idx="257">
                        <c:v>1.2849999999999999</c:v>
                      </c:pt>
                      <c:pt idx="258">
                        <c:v>1.29</c:v>
                      </c:pt>
                      <c:pt idx="259">
                        <c:v>1.2949999999999999</c:v>
                      </c:pt>
                      <c:pt idx="260">
                        <c:v>1.3</c:v>
                      </c:pt>
                      <c:pt idx="261">
                        <c:v>1.3049999999999999</c:v>
                      </c:pt>
                      <c:pt idx="262">
                        <c:v>1.31</c:v>
                      </c:pt>
                      <c:pt idx="263">
                        <c:v>1.3149999999999999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'Second Order V3'!$F$7:$F$270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0.47841653959318836</c:v>
                      </c:pt>
                      <c:pt idx="1">
                        <c:v>0.46763730545568544</c:v>
                      </c:pt>
                      <c:pt idx="2">
                        <c:v>0.4568220093075972</c:v>
                      </c:pt>
                      <c:pt idx="3">
                        <c:v>0.44598226455401691</c:v>
                      </c:pt>
                      <c:pt idx="4">
                        <c:v>0.43512934253964275</c:v>
                      </c:pt>
                      <c:pt idx="5">
                        <c:v>0.42427417240192727</c:v>
                      </c:pt>
                      <c:pt idx="6">
                        <c:v>0.41342734126037639</c:v>
                      </c:pt>
                      <c:pt idx="7">
                        <c:v>0.40259909473122807</c:v>
                      </c:pt>
                      <c:pt idx="8">
                        <c:v>0.3917993377567659</c:v>
                      </c:pt>
                      <c:pt idx="9">
                        <c:v>0.38103763573855282</c:v>
                      </c:pt>
                      <c:pt idx="10">
                        <c:v>0.37032321596391882</c:v>
                      </c:pt>
                      <c:pt idx="11">
                        <c:v>0.35966496931508229</c:v>
                      </c:pt>
                      <c:pt idx="12">
                        <c:v>0.34907145225035019</c:v>
                      </c:pt>
                      <c:pt idx="13">
                        <c:v>0.33855088904690667</c:v>
                      </c:pt>
                      <c:pt idx="14">
                        <c:v>0.3281111742947822</c:v>
                      </c:pt>
                      <c:pt idx="15">
                        <c:v>0.31775987563167357</c:v>
                      </c:pt>
                      <c:pt idx="16">
                        <c:v>0.3075042367083819</c:v>
                      </c:pt>
                      <c:pt idx="17">
                        <c:v>0.29735118037473213</c:v>
                      </c:pt>
                      <c:pt idx="18">
                        <c:v>0.28730731207594412</c:v>
                      </c:pt>
                      <c:pt idx="19">
                        <c:v>0.27737892344953674</c:v>
                      </c:pt>
                      <c:pt idx="20">
                        <c:v>0.26757199611296517</c:v>
                      </c:pt>
                      <c:pt idx="21">
                        <c:v>0.25789220563231574</c:v>
                      </c:pt>
                      <c:pt idx="22">
                        <c:v>0.24834492566250982</c:v>
                      </c:pt>
                      <c:pt idx="23">
                        <c:v>0.23893523224960567</c:v>
                      </c:pt>
                      <c:pt idx="24">
                        <c:v>0.2296679082859257</c:v>
                      </c:pt>
                      <c:pt idx="25">
                        <c:v>0.22054744810887777</c:v>
                      </c:pt>
                      <c:pt idx="26">
                        <c:v>0.21157806223449266</c:v>
                      </c:pt>
                      <c:pt idx="27">
                        <c:v>0.20276368221684732</c:v>
                      </c:pt>
                      <c:pt idx="28">
                        <c:v>0.19410796562470273</c:v>
                      </c:pt>
                      <c:pt idx="29">
                        <c:v>0.18561430112684218</c:v>
                      </c:pt>
                      <c:pt idx="30">
                        <c:v>0.17728581367776178</c:v>
                      </c:pt>
                      <c:pt idx="31">
                        <c:v>0.16912536979552822</c:v>
                      </c:pt>
                      <c:pt idx="32">
                        <c:v>0.16113558292378699</c:v>
                      </c:pt>
                      <c:pt idx="33">
                        <c:v>0.15331881887007803</c:v>
                      </c:pt>
                      <c:pt idx="34">
                        <c:v>0.14567720131278586</c:v>
                      </c:pt>
                      <c:pt idx="35">
                        <c:v>0.13821261736922785</c:v>
                      </c:pt>
                      <c:pt idx="36">
                        <c:v>0.13092672321756132</c:v>
                      </c:pt>
                      <c:pt idx="37">
                        <c:v>0.12382094976536748</c:v>
                      </c:pt>
                      <c:pt idx="38">
                        <c:v>0.11689650835795112</c:v>
                      </c:pt>
                      <c:pt idx="39">
                        <c:v>0.11015439651957472</c:v>
                      </c:pt>
                      <c:pt idx="40">
                        <c:v>0.10359540372102821</c:v>
                      </c:pt>
                      <c:pt idx="41">
                        <c:v>9.7220117167116843E-2</c:v>
                      </c:pt>
                      <c:pt idx="42">
                        <c:v>9.1028927597833736E-2</c:v>
                      </c:pt>
                      <c:pt idx="43">
                        <c:v>8.5022035097165452E-2</c:v>
                      </c:pt>
                      <c:pt idx="44">
                        <c:v>7.9199454903663064E-2</c:v>
                      </c:pt>
                      <c:pt idx="45">
                        <c:v>7.3561023217093902E-2</c:v>
                      </c:pt>
                      <c:pt idx="46">
                        <c:v>6.8106402995671819E-2</c:v>
                      </c:pt>
                      <c:pt idx="47">
                        <c:v>6.2835089738546665E-2</c:v>
                      </c:pt>
                      <c:pt idx="48">
                        <c:v>5.7746417248414977E-2</c:v>
                      </c:pt>
                      <c:pt idx="49">
                        <c:v>5.2839563369295697E-2</c:v>
                      </c:pt>
                      <c:pt idx="50">
                        <c:v>4.8113555694693506E-2</c:v>
                      </c:pt>
                      <c:pt idx="51">
                        <c:v>4.3567277241553404E-2</c:v>
                      </c:pt>
                      <c:pt idx="52">
                        <c:v>3.9199472085586273E-2</c:v>
                      </c:pt>
                      <c:pt idx="53">
                        <c:v>3.5008750953723008E-2</c:v>
                      </c:pt>
                      <c:pt idx="54">
                        <c:v>3.0993596769629289E-2</c:v>
                      </c:pt>
                      <c:pt idx="55">
                        <c:v>2.7152370148387006E-2</c:v>
                      </c:pt>
                      <c:pt idx="56">
                        <c:v>2.3483314836619924E-2</c:v>
                      </c:pt>
                      <c:pt idx="57">
                        <c:v>1.9984563094511625E-2</c:v>
                      </c:pt>
                      <c:pt idx="58">
                        <c:v>1.6654141016331461E-2</c:v>
                      </c:pt>
                      <c:pt idx="59">
                        <c:v>1.3489973786251136E-2</c:v>
                      </c:pt>
                      <c:pt idx="60">
                        <c:v>1.04898908663974E-2</c:v>
                      </c:pt>
                      <c:pt idx="61">
                        <c:v>7.6516311142496157E-3</c:v>
                      </c:pt>
                      <c:pt idx="62">
                        <c:v>4.9728478266489184E-3</c:v>
                      </c:pt>
                      <c:pt idx="63">
                        <c:v>2.451113707844621E-3</c:v>
                      </c:pt>
                      <c:pt idx="64">
                        <c:v>8.3925759156125435E-5</c:v>
                      </c:pt>
                      <c:pt idx="65">
                        <c:v>-2.1312899120170536E-3</c:v>
                      </c:pt>
                      <c:pt idx="66">
                        <c:v>-4.1971733659566801E-3</c:v>
                      </c:pt>
                      <c:pt idx="67">
                        <c:v>-6.1164261891306221E-3</c:v>
                      </c:pt>
                      <c:pt idx="68">
                        <c:v>-7.8918069392680534E-3</c:v>
                      </c:pt>
                      <c:pt idx="69">
                        <c:v>-9.5261266786926535E-3</c:v>
                      </c:pt>
                      <c:pt idx="70">
                        <c:v>-1.1022244597460165E-2</c:v>
                      </c:pt>
                      <c:pt idx="71">
                        <c:v>-1.2383063727713306E-2</c:v>
                      </c:pt>
                      <c:pt idx="72">
                        <c:v>-1.3611526750532552E-2</c:v>
                      </c:pt>
                      <c:pt idx="73">
                        <c:v>-1.4710611896432399E-2</c:v>
                      </c:pt>
                      <c:pt idx="74">
                        <c:v>-1.5683328940525154E-2</c:v>
                      </c:pt>
                      <c:pt idx="75">
                        <c:v>-1.6532715293250941E-2</c:v>
                      </c:pt>
                      <c:pt idx="76">
                        <c:v>-1.7261832187451115E-2</c:v>
                      </c:pt>
                      <c:pt idx="77">
                        <c:v>-1.7873760962445223E-2</c:v>
                      </c:pt>
                      <c:pt idx="78">
                        <c:v>-1.8371599445655959E-2</c:v>
                      </c:pt>
                      <c:pt idx="79">
                        <c:v>-1.8758458432216074E-2</c:v>
                      </c:pt>
                      <c:pt idx="80">
                        <c:v>-1.9037458262881155E-2</c:v>
                      </c:pt>
                      <c:pt idx="81">
                        <c:v>-1.9211725500468416E-2</c:v>
                      </c:pt>
                      <c:pt idx="82">
                        <c:v>-1.928438970493751E-2</c:v>
                      </c:pt>
                      <c:pt idx="83">
                        <c:v>-1.9258580307131914E-2</c:v>
                      </c:pt>
                      <c:pt idx="84">
                        <c:v>-1.9137423581101709E-2</c:v>
                      </c:pt>
                      <c:pt idx="85">
                        <c:v>-1.8924039714836402E-2</c:v>
                      </c:pt>
                      <c:pt idx="86">
                        <c:v>-1.8621539979146923E-2</c:v>
                      </c:pt>
                      <c:pt idx="87">
                        <c:v>-1.8233023994347439E-2</c:v>
                      </c:pt>
                      <c:pt idx="88">
                        <c:v>-1.7761577094306175E-2</c:v>
                      </c:pt>
                      <c:pt idx="89">
                        <c:v>-1.7210267787350936E-2</c:v>
                      </c:pt>
                      <c:pt idx="90">
                        <c:v>-1.6582145313440697E-2</c:v>
                      </c:pt>
                      <c:pt idx="91">
                        <c:v>-1.5880237296936217E-2</c:v>
                      </c:pt>
                      <c:pt idx="92">
                        <c:v>-1.5107547494234264E-2</c:v>
                      </c:pt>
                      <c:pt idx="93">
                        <c:v>-1.4267053635459478E-2</c:v>
                      </c:pt>
                      <c:pt idx="94">
                        <c:v>-1.3361705359342224E-2</c:v>
                      </c:pt>
                      <c:pt idx="95">
                        <c:v>-1.2394422240348979E-2</c:v>
                      </c:pt>
                      <c:pt idx="96">
                        <c:v>-1.1368091907071012E-2</c:v>
                      </c:pt>
                      <c:pt idx="97">
                        <c:v>-1.0285568250819735E-2</c:v>
                      </c:pt>
                      <c:pt idx="98">
                        <c:v>-9.1496697233238861E-3</c:v>
                      </c:pt>
                      <c:pt idx="99">
                        <c:v>-7.9631777223714145E-3</c:v>
                      </c:pt>
                      <c:pt idx="100">
                        <c:v>-6.7288350641901695E-3</c:v>
                      </c:pt>
                      <c:pt idx="101">
                        <c:v>-5.449344541315751E-3</c:v>
                      </c:pt>
                      <c:pt idx="102">
                        <c:v>-4.1273675646515129E-3</c:v>
                      </c:pt>
                      <c:pt idx="103">
                        <c:v>-2.765522888384303E-3</c:v>
                      </c:pt>
                      <c:pt idx="104">
                        <c:v>-1.3663854163825651E-3</c:v>
                      </c:pt>
                      <c:pt idx="105">
                        <c:v>6.7514911333915739E-5</c:v>
                      </c:pt>
                      <c:pt idx="106">
                        <c:v>1.5336941534948023E-3</c:v>
                      </c:pt>
                      <c:pt idx="107">
                        <c:v>3.0297153253246722E-3</c:v>
                      </c:pt>
                      <c:pt idx="108">
                        <c:v>4.5531892806351809E-3</c:v>
                      </c:pt>
                      <c:pt idx="109">
                        <c:v>6.1017755197916024E-3</c:v>
                      </c:pt>
                      <c:pt idx="110">
                        <c:v>7.6731829251061034E-3</c:v>
                      </c:pt>
                      <c:pt idx="111">
                        <c:v>9.2651704252300626E-3</c:v>
                      </c:pt>
                      <c:pt idx="112">
                        <c:v>1.0875547590138812E-2</c:v>
                      </c:pt>
                      <c:pt idx="113">
                        <c:v>1.2502175158317141E-2</c:v>
                      </c:pt>
                      <c:pt idx="114">
                        <c:v>1.4142965497771387E-2</c:v>
                      </c:pt>
                      <c:pt idx="115">
                        <c:v>1.579588300250416E-2</c:v>
                      </c:pt>
                      <c:pt idx="116">
                        <c:v>1.7458944426101103E-2</c:v>
                      </c:pt>
                      <c:pt idx="117">
                        <c:v>1.9130219154086706E-2</c:v>
                      </c:pt>
                      <c:pt idx="118">
                        <c:v>2.0807829416713663E-2</c:v>
                      </c:pt>
                      <c:pt idx="119">
                        <c:v>2.2489950443855482E-2</c:v>
                      </c:pt>
                      <c:pt idx="120">
                        <c:v>2.4174810563676166E-2</c:v>
                      </c:pt>
                      <c:pt idx="121">
                        <c:v>2.5860691246751111E-2</c:v>
                      </c:pt>
                      <c:pt idx="122">
                        <c:v>2.7545927097315591E-2</c:v>
                      </c:pt>
                      <c:pt idx="123">
                        <c:v>2.9228905793313213E-2</c:v>
                      </c:pt>
                      <c:pt idx="124">
                        <c:v>3.0908067976915872E-2</c:v>
                      </c:pt>
                      <c:pt idx="125">
                        <c:v>3.2581907097180507E-2</c:v>
                      </c:pt>
                      <c:pt idx="126">
                        <c:v>3.4248969206502777E-2</c:v>
                      </c:pt>
                      <c:pt idx="127">
                        <c:v>3.5907852712519645E-2</c:v>
                      </c:pt>
                      <c:pt idx="128">
                        <c:v>3.7557208087104589E-2</c:v>
                      </c:pt>
                      <c:pt idx="129">
                        <c:v>3.9195737534088587E-2</c:v>
                      </c:pt>
                      <c:pt idx="130">
                        <c:v>4.0822194617328389E-2</c:v>
                      </c:pt>
                      <c:pt idx="131">
                        <c:v>4.2435383850731631E-2</c:v>
                      </c:pt>
                      <c:pt idx="132">
                        <c:v>4.4034160251833675E-2</c:v>
                      </c:pt>
                      <c:pt idx="133">
                        <c:v>4.5617428860506876E-2</c:v>
                      </c:pt>
                      <c:pt idx="134">
                        <c:v>4.7184144224366287E-2</c:v>
                      </c:pt>
                      <c:pt idx="135">
                        <c:v>4.8733309852419616E-2</c:v>
                      </c:pt>
                      <c:pt idx="136">
                        <c:v>5.0263977638490318E-2</c:v>
                      </c:pt>
                      <c:pt idx="137">
                        <c:v>5.1775247255924875E-2</c:v>
                      </c:pt>
                      <c:pt idx="138">
                        <c:v>5.3266265525074519E-2</c:v>
                      </c:pt>
                      <c:pt idx="139">
                        <c:v>5.4736225755022128E-2</c:v>
                      </c:pt>
                      <c:pt idx="140">
                        <c:v>5.618436706100248E-2</c:v>
                      </c:pt>
                      <c:pt idx="141">
                        <c:v>5.7609973658943277E-2</c:v>
                      </c:pt>
                      <c:pt idx="142">
                        <c:v>5.9012374138530534E-2</c:v>
                      </c:pt>
                      <c:pt idx="143">
                        <c:v>6.0390940716179065E-2</c:v>
                      </c:pt>
                      <c:pt idx="144">
                        <c:v>6.1745088469264499E-2</c:v>
                      </c:pt>
                      <c:pt idx="145">
                        <c:v>6.3074274552949061E-2</c:v>
                      </c:pt>
                      <c:pt idx="146">
                        <c:v>6.4377997400907702E-2</c:v>
                      </c:pt>
                      <c:pt idx="147">
                        <c:v>6.5655795911236381E-2</c:v>
                      </c:pt>
                      <c:pt idx="148">
                        <c:v>6.690724861879728E-2</c:v>
                      </c:pt>
                      <c:pt idx="149">
                        <c:v>6.8131972855230441E-2</c:v>
                      </c:pt>
                      <c:pt idx="150">
                        <c:v>6.9329623897833786E-2</c:v>
                      </c:pt>
                      <c:pt idx="151">
                        <c:v>7.0499894108486422E-2</c:v>
                      </c:pt>
                      <c:pt idx="152">
                        <c:v>7.1642512063763555E-2</c:v>
                      </c:pt>
                      <c:pt idx="153">
                        <c:v>7.2757241677362722E-2</c:v>
                      </c:pt>
                      <c:pt idx="154">
                        <c:v>7.3843881315933585E-2</c:v>
                      </c:pt>
                      <c:pt idx="155">
                        <c:v>7.4902262909376016E-2</c:v>
                      </c:pt>
                      <c:pt idx="156">
                        <c:v>7.5932251056642253E-2</c:v>
                      </c:pt>
                      <c:pt idx="157">
                        <c:v>7.6933742128051361E-2</c:v>
                      </c:pt>
                      <c:pt idx="158">
                        <c:v>7.7906663365094872E-2</c:v>
                      </c:pt>
                      <c:pt idx="159">
                        <c:v>7.8850971978685486E-2</c:v>
                      </c:pt>
                      <c:pt idx="160">
                        <c:v>7.9766654246770916E-2</c:v>
                      </c:pt>
                      <c:pt idx="161">
                        <c:v>8.0653724612207392E-2</c:v>
                      </c:pt>
                      <c:pt idx="162">
                        <c:v>8.1512224781758319E-2</c:v>
                      </c:pt>
                      <c:pt idx="163">
                        <c:v>8.2342222827055792E-2</c:v>
                      </c:pt>
                      <c:pt idx="164">
                        <c:v>8.314381228833416E-2</c:v>
                      </c:pt>
                      <c:pt idx="165">
                        <c:v>8.391711128171625E-2</c:v>
                      </c:pt>
                      <c:pt idx="166">
                        <c:v>8.4662261610805603E-2</c:v>
                      </c:pt>
                      <c:pt idx="167">
                        <c:v>8.5379427883309822E-2</c:v>
                      </c:pt>
                      <c:pt idx="168">
                        <c:v>8.6068796633391884E-2</c:v>
                      </c:pt>
                      <c:pt idx="169">
                        <c:v>8.67305754504194E-2</c:v>
                      </c:pt>
                      <c:pt idx="170">
                        <c:v>8.7364992114755693E-2</c:v>
                      </c:pt>
                      <c:pt idx="171">
                        <c:v>8.7972293741205784E-2</c:v>
                      </c:pt>
                      <c:pt idx="172">
                        <c:v>8.8552745930707846E-2</c:v>
                      </c:pt>
                      <c:pt idx="173">
                        <c:v>8.9106631930831764E-2</c:v>
                      </c:pt>
                      <c:pt idx="174">
                        <c:v>8.9634251805620485E-2</c:v>
                      </c:pt>
                      <c:pt idx="175">
                        <c:v>9.0135921615284637E-2</c:v>
                      </c:pt>
                      <c:pt idx="176">
                        <c:v>9.0611972606234159E-2</c:v>
                      </c:pt>
                      <c:pt idx="177">
                        <c:v>9.1062750411906798E-2</c:v>
                      </c:pt>
                      <c:pt idx="178">
                        <c:v>9.1488614264827114E-2</c:v>
                      </c:pt>
                      <c:pt idx="179">
                        <c:v>9.1889936220306015E-2</c:v>
                      </c:pt>
                      <c:pt idx="180">
                        <c:v>9.2267100392165916E-2</c:v>
                      </c:pt>
                      <c:pt idx="181">
                        <c:v>9.2620502200853647E-2</c:v>
                      </c:pt>
                      <c:pt idx="182">
                        <c:v>9.2950547634279027E-2</c:v>
                      </c:pt>
                      <c:pt idx="183">
                        <c:v>9.3257652521694698E-2</c:v>
                      </c:pt>
                      <c:pt idx="184">
                        <c:v>9.3542241820909672E-2</c:v>
                      </c:pt>
                      <c:pt idx="185">
                        <c:v>9.3804748919107464E-2</c:v>
                      </c:pt>
                      <c:pt idx="186">
                        <c:v>9.4045614947517592E-2</c:v>
                      </c:pt>
                      <c:pt idx="187">
                        <c:v>9.42652881101681E-2</c:v>
                      </c:pt>
                      <c:pt idx="188">
                        <c:v>9.4464223026925864E-2</c:v>
                      </c:pt>
                      <c:pt idx="189">
                        <c:v>9.4642880091011419E-2</c:v>
                      </c:pt>
                      <c:pt idx="190">
                        <c:v>9.4801724841154469E-2</c:v>
                      </c:pt>
                      <c:pt idx="191">
                        <c:v>9.4941227348537674E-2</c:v>
                      </c:pt>
                      <c:pt idx="192">
                        <c:v>9.5061861618656679E-2</c:v>
                      </c:pt>
                      <c:pt idx="193">
                        <c:v>9.5164105008205976E-2</c:v>
                      </c:pt>
                      <c:pt idx="194">
                        <c:v>9.5248437657082546E-2</c:v>
                      </c:pt>
                      <c:pt idx="195">
                        <c:v>9.5315341935581332E-2</c:v>
                      </c:pt>
                      <c:pt idx="196">
                        <c:v>9.5365301906839672E-2</c:v>
                      </c:pt>
                      <c:pt idx="197">
                        <c:v>9.539880280457097E-2</c:v>
                      </c:pt>
                      <c:pt idx="198">
                        <c:v>9.5416330526112605E-2</c:v>
                      </c:pt>
                      <c:pt idx="199">
                        <c:v>9.5418371140796376E-2</c:v>
                      </c:pt>
                      <c:pt idx="200">
                        <c:v>9.5405410413635483E-2</c:v>
                      </c:pt>
                      <c:pt idx="201">
                        <c:v>9.5377933344307012E-2</c:v>
                      </c:pt>
                      <c:pt idx="202">
                        <c:v>9.5336423721394933E-2</c:v>
                      </c:pt>
                      <c:pt idx="203">
                        <c:v>9.5281363691844798E-2</c:v>
                      </c:pt>
                      <c:pt idx="204">
                        <c:v>9.521323334556811E-2</c:v>
                      </c:pt>
                      <c:pt idx="205">
                        <c:v>9.5132510315121807E-2</c:v>
                      </c:pt>
                      <c:pt idx="206">
                        <c:v>9.5039669390375836E-2</c:v>
                      </c:pt>
                      <c:pt idx="207">
                        <c:v>9.4935182148070146E-2</c:v>
                      </c:pt>
                      <c:pt idx="208">
                        <c:v>9.4819516596150885E-2</c:v>
                      </c:pt>
                      <c:pt idx="209">
                        <c:v>9.4693136832765284E-2</c:v>
                      </c:pt>
                      <c:pt idx="210">
                        <c:v>9.4556502719783511E-2</c:v>
                      </c:pt>
                      <c:pt idx="211">
                        <c:v>9.441006957070662E-2</c:v>
                      </c:pt>
                      <c:pt idx="212">
                        <c:v>9.4254287852809551E-2</c:v>
                      </c:pt>
                      <c:pt idx="213">
                        <c:v>9.4089602903359895E-2</c:v>
                      </c:pt>
                      <c:pt idx="214">
                        <c:v>9.3916454659743465E-2</c:v>
                      </c:pt>
                      <c:pt idx="215">
                        <c:v>9.373527740332066E-2</c:v>
                      </c:pt>
                      <c:pt idx="216">
                        <c:v>9.3546499516829057E-2</c:v>
                      </c:pt>
                      <c:pt idx="217">
                        <c:v>9.3350543255140792E-2</c:v>
                      </c:pt>
                      <c:pt idx="218">
                        <c:v>9.3147824529175957E-2</c:v>
                      </c:pt>
                      <c:pt idx="219">
                        <c:v>9.293875270276751E-2</c:v>
                      </c:pt>
                      <c:pt idx="220">
                        <c:v>9.2723730402266086E-2</c:v>
                      </c:pt>
                      <c:pt idx="221">
                        <c:v>9.250315333866832E-2</c:v>
                      </c:pt>
                      <c:pt idx="222">
                        <c:v>9.2277410142046268E-2</c:v>
                      </c:pt>
                      <c:pt idx="223">
                        <c:v>9.2046882208051337E-2</c:v>
                      </c:pt>
                      <c:pt idx="224">
                        <c:v>9.1811943556260725E-2</c:v>
                      </c:pt>
                      <c:pt idx="225">
                        <c:v>9.1572960700130962E-2</c:v>
                      </c:pt>
                      <c:pt idx="226">
                        <c:v>9.1330292528318743E-2</c:v>
                      </c:pt>
                      <c:pt idx="227">
                        <c:v>9.1084290197126314E-2</c:v>
                      </c:pt>
                      <c:pt idx="228">
                        <c:v>9.0835297033825022E-2</c:v>
                      </c:pt>
                      <c:pt idx="229">
                        <c:v>9.0583648450608137E-2</c:v>
                      </c:pt>
                      <c:pt idx="230">
                        <c:v>9.0329671868921713E-2</c:v>
                      </c:pt>
                      <c:pt idx="231">
                        <c:v>9.007368665391971E-2</c:v>
                      </c:pt>
                      <c:pt idx="232">
                        <c:v>8.9816004058788243E-2</c:v>
                      </c:pt>
                      <c:pt idx="233">
                        <c:v>8.9556927178682008E-2</c:v>
                      </c:pt>
                      <c:pt idx="234">
                        <c:v>8.9296750914014719E-2</c:v>
                      </c:pt>
                      <c:pt idx="235">
                        <c:v>8.9035761942844585E-2</c:v>
                      </c:pt>
                      <c:pt idx="236">
                        <c:v>8.8774238702095248E-2</c:v>
                      </c:pt>
                      <c:pt idx="237">
                        <c:v>8.8512451377351919E-2</c:v>
                      </c:pt>
                      <c:pt idx="238">
                        <c:v>8.8250661900972721E-2</c:v>
                      </c:pt>
                      <c:pt idx="239">
                        <c:v>8.7989123958254964E-2</c:v>
                      </c:pt>
                      <c:pt idx="240">
                        <c:v>8.7728083001397048E-2</c:v>
                      </c:pt>
                      <c:pt idx="241">
                        <c:v>8.7467776270996611E-2</c:v>
                      </c:pt>
                      <c:pt idx="242">
                        <c:v>8.7208432824826931E-2</c:v>
                      </c:pt>
                      <c:pt idx="243">
                        <c:v>8.695027357363444E-2</c:v>
                      </c:pt>
                      <c:pt idx="244">
                        <c:v>8.6693511323701636E-2</c:v>
                      </c:pt>
                      <c:pt idx="245">
                        <c:v>8.6438350825920926E-2</c:v>
                      </c:pt>
                      <c:pt idx="246">
                        <c:v>8.6184988831126977E-2</c:v>
                      </c:pt>
                      <c:pt idx="247">
                        <c:v>8.593361415143666E-2</c:v>
                      </c:pt>
                      <c:pt idx="248">
                        <c:v>8.5684407727348366E-2</c:v>
                      </c:pt>
                      <c:pt idx="249">
                        <c:v>8.5437542700353683E-2</c:v>
                      </c:pt>
                      <c:pt idx="250">
                        <c:v>8.5193184490818155E-2</c:v>
                      </c:pt>
                      <c:pt idx="251">
                        <c:v>8.4951490880889172E-2</c:v>
                      </c:pt>
                      <c:pt idx="252">
                        <c:v>8.4712612102192775E-2</c:v>
                      </c:pt>
                      <c:pt idx="253">
                        <c:v>8.4476690928083298E-2</c:v>
                      </c:pt>
                      <c:pt idx="254">
                        <c:v>8.4243862770213299E-2</c:v>
                      </c:pt>
                      <c:pt idx="255">
                        <c:v>8.4014255779193955E-2</c:v>
                      </c:pt>
                      <c:pt idx="256">
                        <c:v>8.3787990949119817E-2</c:v>
                      </c:pt>
                      <c:pt idx="257">
                        <c:v>8.3565182225734821E-2</c:v>
                      </c:pt>
                      <c:pt idx="258">
                        <c:v>8.3345936618020033E-2</c:v>
                      </c:pt>
                      <c:pt idx="259">
                        <c:v>8.3130354312987459E-2</c:v>
                      </c:pt>
                      <c:pt idx="260">
                        <c:v>8.2918528793467505E-2</c:v>
                      </c:pt>
                      <c:pt idx="261">
                        <c:v>8.2710546958681935E-2</c:v>
                      </c:pt>
                      <c:pt idx="262">
                        <c:v>8.2506489247397549E-2</c:v>
                      </c:pt>
                      <c:pt idx="263">
                        <c:v>8.2306429763460226E-2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533-4F49-87A1-EEF509FB0D0C}"/>
                  </c:ext>
                </c:extLst>
              </c15:ser>
            </c15:filteredScatterSeries>
            <c15:filteredScatterSeries>
              <c15:ser>
                <c:idx val="7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V3'!$G$6</c15:sqref>
                        </c15:formulaRef>
                      </c:ext>
                    </c:extLst>
                    <c:strCache>
                      <c:ptCount val="1"/>
                      <c:pt idx="0">
                        <c:v>expecter behavior (max values H and D)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V3'!$A$7:$A$270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</c:v>
                      </c:pt>
                      <c:pt idx="1">
                        <c:v>5.0000000000000001E-3</c:v>
                      </c:pt>
                      <c:pt idx="2">
                        <c:v>0.01</c:v>
                      </c:pt>
                      <c:pt idx="3">
                        <c:v>1.4999999999999999E-2</c:v>
                      </c:pt>
                      <c:pt idx="4">
                        <c:v>0.02</c:v>
                      </c:pt>
                      <c:pt idx="5">
                        <c:v>2.5000000000000001E-2</c:v>
                      </c:pt>
                      <c:pt idx="6">
                        <c:v>0.03</c:v>
                      </c:pt>
                      <c:pt idx="7">
                        <c:v>3.5000000000000003E-2</c:v>
                      </c:pt>
                      <c:pt idx="8">
                        <c:v>0.04</c:v>
                      </c:pt>
                      <c:pt idx="9">
                        <c:v>4.4999999999999998E-2</c:v>
                      </c:pt>
                      <c:pt idx="10">
                        <c:v>0.05</c:v>
                      </c:pt>
                      <c:pt idx="11">
                        <c:v>5.5E-2</c:v>
                      </c:pt>
                      <c:pt idx="12">
                        <c:v>0.06</c:v>
                      </c:pt>
                      <c:pt idx="13">
                        <c:v>6.5000000000000002E-2</c:v>
                      </c:pt>
                      <c:pt idx="14">
                        <c:v>7.0000000000000007E-2</c:v>
                      </c:pt>
                      <c:pt idx="15">
                        <c:v>7.4999999999999997E-2</c:v>
                      </c:pt>
                      <c:pt idx="16">
                        <c:v>0.08</c:v>
                      </c:pt>
                      <c:pt idx="17">
                        <c:v>8.5000000000000006E-2</c:v>
                      </c:pt>
                      <c:pt idx="18">
                        <c:v>0.09</c:v>
                      </c:pt>
                      <c:pt idx="19">
                        <c:v>9.5000000000000001E-2</c:v>
                      </c:pt>
                      <c:pt idx="20">
                        <c:v>0.1</c:v>
                      </c:pt>
                      <c:pt idx="21">
                        <c:v>0.105</c:v>
                      </c:pt>
                      <c:pt idx="22">
                        <c:v>0.11</c:v>
                      </c:pt>
                      <c:pt idx="23">
                        <c:v>0.115</c:v>
                      </c:pt>
                      <c:pt idx="24">
                        <c:v>0.12</c:v>
                      </c:pt>
                      <c:pt idx="25">
                        <c:v>0.125</c:v>
                      </c:pt>
                      <c:pt idx="26">
                        <c:v>0.13</c:v>
                      </c:pt>
                      <c:pt idx="27">
                        <c:v>0.13500000000000001</c:v>
                      </c:pt>
                      <c:pt idx="28">
                        <c:v>0.14000000000000001</c:v>
                      </c:pt>
                      <c:pt idx="29">
                        <c:v>0.14499999999999999</c:v>
                      </c:pt>
                      <c:pt idx="30">
                        <c:v>0.15</c:v>
                      </c:pt>
                      <c:pt idx="31">
                        <c:v>0.155</c:v>
                      </c:pt>
                      <c:pt idx="32">
                        <c:v>0.16</c:v>
                      </c:pt>
                      <c:pt idx="33">
                        <c:v>0.16500000000000001</c:v>
                      </c:pt>
                      <c:pt idx="34">
                        <c:v>0.17</c:v>
                      </c:pt>
                      <c:pt idx="35">
                        <c:v>0.17499999999999999</c:v>
                      </c:pt>
                      <c:pt idx="36">
                        <c:v>0.18</c:v>
                      </c:pt>
                      <c:pt idx="37">
                        <c:v>0.185</c:v>
                      </c:pt>
                      <c:pt idx="38">
                        <c:v>0.19</c:v>
                      </c:pt>
                      <c:pt idx="39">
                        <c:v>0.19500000000000001</c:v>
                      </c:pt>
                      <c:pt idx="40">
                        <c:v>0.2</c:v>
                      </c:pt>
                      <c:pt idx="41">
                        <c:v>0.20499999999999999</c:v>
                      </c:pt>
                      <c:pt idx="42">
                        <c:v>0.21</c:v>
                      </c:pt>
                      <c:pt idx="43">
                        <c:v>0.215</c:v>
                      </c:pt>
                      <c:pt idx="44">
                        <c:v>0.22</c:v>
                      </c:pt>
                      <c:pt idx="45">
                        <c:v>0.22500000000000001</c:v>
                      </c:pt>
                      <c:pt idx="46">
                        <c:v>0.23</c:v>
                      </c:pt>
                      <c:pt idx="47">
                        <c:v>0.23499999999999999</c:v>
                      </c:pt>
                      <c:pt idx="48">
                        <c:v>0.24</c:v>
                      </c:pt>
                      <c:pt idx="49">
                        <c:v>0.245</c:v>
                      </c:pt>
                      <c:pt idx="50">
                        <c:v>0.25</c:v>
                      </c:pt>
                      <c:pt idx="51">
                        <c:v>0.255</c:v>
                      </c:pt>
                      <c:pt idx="52">
                        <c:v>0.26</c:v>
                      </c:pt>
                      <c:pt idx="53">
                        <c:v>0.26500000000000001</c:v>
                      </c:pt>
                      <c:pt idx="54">
                        <c:v>0.27</c:v>
                      </c:pt>
                      <c:pt idx="55">
                        <c:v>0.27500000000000002</c:v>
                      </c:pt>
                      <c:pt idx="56">
                        <c:v>0.28000000000000003</c:v>
                      </c:pt>
                      <c:pt idx="57">
                        <c:v>0.28499999999999998</c:v>
                      </c:pt>
                      <c:pt idx="58">
                        <c:v>0.28999999999999998</c:v>
                      </c:pt>
                      <c:pt idx="59">
                        <c:v>0.29499999999999998</c:v>
                      </c:pt>
                      <c:pt idx="60">
                        <c:v>0.3</c:v>
                      </c:pt>
                      <c:pt idx="61">
                        <c:v>0.30499999999999999</c:v>
                      </c:pt>
                      <c:pt idx="62">
                        <c:v>0.31</c:v>
                      </c:pt>
                      <c:pt idx="63">
                        <c:v>0.315</c:v>
                      </c:pt>
                      <c:pt idx="64">
                        <c:v>0.32</c:v>
                      </c:pt>
                      <c:pt idx="65">
                        <c:v>0.32500000000000001</c:v>
                      </c:pt>
                      <c:pt idx="66">
                        <c:v>0.33</c:v>
                      </c:pt>
                      <c:pt idx="67">
                        <c:v>0.33500000000000002</c:v>
                      </c:pt>
                      <c:pt idx="68">
                        <c:v>0.34</c:v>
                      </c:pt>
                      <c:pt idx="69">
                        <c:v>0.34499999999999997</c:v>
                      </c:pt>
                      <c:pt idx="70">
                        <c:v>0.35</c:v>
                      </c:pt>
                      <c:pt idx="71">
                        <c:v>0.35499999999999998</c:v>
                      </c:pt>
                      <c:pt idx="72">
                        <c:v>0.36</c:v>
                      </c:pt>
                      <c:pt idx="73">
                        <c:v>0.36499999999999999</c:v>
                      </c:pt>
                      <c:pt idx="74">
                        <c:v>0.37</c:v>
                      </c:pt>
                      <c:pt idx="75">
                        <c:v>0.375</c:v>
                      </c:pt>
                      <c:pt idx="76">
                        <c:v>0.38</c:v>
                      </c:pt>
                      <c:pt idx="77">
                        <c:v>0.38500000000000001</c:v>
                      </c:pt>
                      <c:pt idx="78">
                        <c:v>0.39</c:v>
                      </c:pt>
                      <c:pt idx="79">
                        <c:v>0.39500000000000002</c:v>
                      </c:pt>
                      <c:pt idx="80">
                        <c:v>0.4</c:v>
                      </c:pt>
                      <c:pt idx="81">
                        <c:v>0.40500000000000003</c:v>
                      </c:pt>
                      <c:pt idx="82">
                        <c:v>0.41</c:v>
                      </c:pt>
                      <c:pt idx="83">
                        <c:v>0.41499999999999998</c:v>
                      </c:pt>
                      <c:pt idx="84">
                        <c:v>0.42</c:v>
                      </c:pt>
                      <c:pt idx="85">
                        <c:v>0.42499999999999999</c:v>
                      </c:pt>
                      <c:pt idx="86">
                        <c:v>0.43</c:v>
                      </c:pt>
                      <c:pt idx="87">
                        <c:v>0.435</c:v>
                      </c:pt>
                      <c:pt idx="88">
                        <c:v>0.44</c:v>
                      </c:pt>
                      <c:pt idx="89">
                        <c:v>0.44500000000000001</c:v>
                      </c:pt>
                      <c:pt idx="90">
                        <c:v>0.45</c:v>
                      </c:pt>
                      <c:pt idx="91">
                        <c:v>0.45500000000000002</c:v>
                      </c:pt>
                      <c:pt idx="92">
                        <c:v>0.46</c:v>
                      </c:pt>
                      <c:pt idx="93">
                        <c:v>0.46500000000000002</c:v>
                      </c:pt>
                      <c:pt idx="94">
                        <c:v>0.47</c:v>
                      </c:pt>
                      <c:pt idx="95">
                        <c:v>0.47499999999999998</c:v>
                      </c:pt>
                      <c:pt idx="96">
                        <c:v>0.48</c:v>
                      </c:pt>
                      <c:pt idx="97">
                        <c:v>0.48499999999999999</c:v>
                      </c:pt>
                      <c:pt idx="98">
                        <c:v>0.49</c:v>
                      </c:pt>
                      <c:pt idx="99">
                        <c:v>0.495</c:v>
                      </c:pt>
                      <c:pt idx="100">
                        <c:v>0.5</c:v>
                      </c:pt>
                      <c:pt idx="101">
                        <c:v>0.505</c:v>
                      </c:pt>
                      <c:pt idx="102">
                        <c:v>0.51</c:v>
                      </c:pt>
                      <c:pt idx="103">
                        <c:v>0.51500000000000001</c:v>
                      </c:pt>
                      <c:pt idx="104">
                        <c:v>0.52</c:v>
                      </c:pt>
                      <c:pt idx="105">
                        <c:v>0.52500000000000002</c:v>
                      </c:pt>
                      <c:pt idx="106">
                        <c:v>0.53</c:v>
                      </c:pt>
                      <c:pt idx="107">
                        <c:v>0.53500000000000003</c:v>
                      </c:pt>
                      <c:pt idx="108">
                        <c:v>0.54</c:v>
                      </c:pt>
                      <c:pt idx="109">
                        <c:v>0.54500000000000004</c:v>
                      </c:pt>
                      <c:pt idx="110">
                        <c:v>0.55000000000000004</c:v>
                      </c:pt>
                      <c:pt idx="111">
                        <c:v>0.55500000000000005</c:v>
                      </c:pt>
                      <c:pt idx="112">
                        <c:v>0.56000000000000005</c:v>
                      </c:pt>
                      <c:pt idx="113">
                        <c:v>0.56499999999999995</c:v>
                      </c:pt>
                      <c:pt idx="114">
                        <c:v>0.56999999999999995</c:v>
                      </c:pt>
                      <c:pt idx="115">
                        <c:v>0.57499999999999996</c:v>
                      </c:pt>
                      <c:pt idx="116">
                        <c:v>0.57999999999999996</c:v>
                      </c:pt>
                      <c:pt idx="117">
                        <c:v>0.58499999999999996</c:v>
                      </c:pt>
                      <c:pt idx="118">
                        <c:v>0.59</c:v>
                      </c:pt>
                      <c:pt idx="119">
                        <c:v>0.59499999999999997</c:v>
                      </c:pt>
                      <c:pt idx="120">
                        <c:v>0.6</c:v>
                      </c:pt>
                      <c:pt idx="121">
                        <c:v>0.60499999999999998</c:v>
                      </c:pt>
                      <c:pt idx="122">
                        <c:v>0.61</c:v>
                      </c:pt>
                      <c:pt idx="123">
                        <c:v>0.61499999999999999</c:v>
                      </c:pt>
                      <c:pt idx="124">
                        <c:v>0.62</c:v>
                      </c:pt>
                      <c:pt idx="125">
                        <c:v>0.625</c:v>
                      </c:pt>
                      <c:pt idx="126">
                        <c:v>0.63</c:v>
                      </c:pt>
                      <c:pt idx="127">
                        <c:v>0.63500000000000001</c:v>
                      </c:pt>
                      <c:pt idx="128">
                        <c:v>0.64</c:v>
                      </c:pt>
                      <c:pt idx="129">
                        <c:v>0.64500000000000002</c:v>
                      </c:pt>
                      <c:pt idx="130">
                        <c:v>0.65</c:v>
                      </c:pt>
                      <c:pt idx="131">
                        <c:v>0.65500000000000003</c:v>
                      </c:pt>
                      <c:pt idx="132">
                        <c:v>0.66</c:v>
                      </c:pt>
                      <c:pt idx="133">
                        <c:v>0.66500000000000004</c:v>
                      </c:pt>
                      <c:pt idx="134">
                        <c:v>0.67</c:v>
                      </c:pt>
                      <c:pt idx="135">
                        <c:v>0.67500000000000004</c:v>
                      </c:pt>
                      <c:pt idx="136">
                        <c:v>0.68</c:v>
                      </c:pt>
                      <c:pt idx="137">
                        <c:v>0.68500000000000005</c:v>
                      </c:pt>
                      <c:pt idx="138">
                        <c:v>0.69</c:v>
                      </c:pt>
                      <c:pt idx="139">
                        <c:v>0.69499999999999995</c:v>
                      </c:pt>
                      <c:pt idx="140">
                        <c:v>0.7</c:v>
                      </c:pt>
                      <c:pt idx="141">
                        <c:v>0.70499999999999996</c:v>
                      </c:pt>
                      <c:pt idx="142">
                        <c:v>0.71</c:v>
                      </c:pt>
                      <c:pt idx="143">
                        <c:v>0.71499999999999997</c:v>
                      </c:pt>
                      <c:pt idx="144">
                        <c:v>0.72</c:v>
                      </c:pt>
                      <c:pt idx="145">
                        <c:v>0.72499999999999998</c:v>
                      </c:pt>
                      <c:pt idx="146">
                        <c:v>0.73</c:v>
                      </c:pt>
                      <c:pt idx="147">
                        <c:v>0.73499999999999999</c:v>
                      </c:pt>
                      <c:pt idx="148">
                        <c:v>0.74</c:v>
                      </c:pt>
                      <c:pt idx="149">
                        <c:v>0.745</c:v>
                      </c:pt>
                      <c:pt idx="150">
                        <c:v>0.75</c:v>
                      </c:pt>
                      <c:pt idx="151">
                        <c:v>0.755</c:v>
                      </c:pt>
                      <c:pt idx="152">
                        <c:v>0.76</c:v>
                      </c:pt>
                      <c:pt idx="153">
                        <c:v>0.76500000000000001</c:v>
                      </c:pt>
                      <c:pt idx="154">
                        <c:v>0.77</c:v>
                      </c:pt>
                      <c:pt idx="155">
                        <c:v>0.77500000000000002</c:v>
                      </c:pt>
                      <c:pt idx="156">
                        <c:v>0.78</c:v>
                      </c:pt>
                      <c:pt idx="157">
                        <c:v>0.78500000000000003</c:v>
                      </c:pt>
                      <c:pt idx="158">
                        <c:v>0.79</c:v>
                      </c:pt>
                      <c:pt idx="159">
                        <c:v>0.79500000000000004</c:v>
                      </c:pt>
                      <c:pt idx="160">
                        <c:v>0.8</c:v>
                      </c:pt>
                      <c:pt idx="161">
                        <c:v>0.80500000000000005</c:v>
                      </c:pt>
                      <c:pt idx="162">
                        <c:v>0.81</c:v>
                      </c:pt>
                      <c:pt idx="163">
                        <c:v>0.81499999999999995</c:v>
                      </c:pt>
                      <c:pt idx="164">
                        <c:v>0.82</c:v>
                      </c:pt>
                      <c:pt idx="165">
                        <c:v>0.82499999999999996</c:v>
                      </c:pt>
                      <c:pt idx="166">
                        <c:v>0.83</c:v>
                      </c:pt>
                      <c:pt idx="167">
                        <c:v>0.83499999999999996</c:v>
                      </c:pt>
                      <c:pt idx="168">
                        <c:v>0.84000000000000097</c:v>
                      </c:pt>
                      <c:pt idx="169">
                        <c:v>0.84500000000000097</c:v>
                      </c:pt>
                      <c:pt idx="170">
                        <c:v>0.85000000000000098</c:v>
                      </c:pt>
                      <c:pt idx="171">
                        <c:v>0.85500000000000098</c:v>
                      </c:pt>
                      <c:pt idx="172">
                        <c:v>0.86000000000000099</c:v>
                      </c:pt>
                      <c:pt idx="173">
                        <c:v>0.86500000000000099</c:v>
                      </c:pt>
                      <c:pt idx="174">
                        <c:v>0.87000000000000099</c:v>
                      </c:pt>
                      <c:pt idx="175">
                        <c:v>0.875000000000001</c:v>
                      </c:pt>
                      <c:pt idx="176">
                        <c:v>0.880000000000001</c:v>
                      </c:pt>
                      <c:pt idx="177">
                        <c:v>0.88500000000000101</c:v>
                      </c:pt>
                      <c:pt idx="178">
                        <c:v>0.89000000000000101</c:v>
                      </c:pt>
                      <c:pt idx="179">
                        <c:v>0.89500000000000102</c:v>
                      </c:pt>
                      <c:pt idx="180">
                        <c:v>0.90000000000000102</c:v>
                      </c:pt>
                      <c:pt idx="181">
                        <c:v>0.90500000000000103</c:v>
                      </c:pt>
                      <c:pt idx="182">
                        <c:v>0.91000000000000103</c:v>
                      </c:pt>
                      <c:pt idx="183">
                        <c:v>0.91500000000000103</c:v>
                      </c:pt>
                      <c:pt idx="184">
                        <c:v>0.92000000000000104</c:v>
                      </c:pt>
                      <c:pt idx="185">
                        <c:v>0.92500000000000104</c:v>
                      </c:pt>
                      <c:pt idx="186">
                        <c:v>0.93000000000000105</c:v>
                      </c:pt>
                      <c:pt idx="187">
                        <c:v>0.93500000000000105</c:v>
                      </c:pt>
                      <c:pt idx="188">
                        <c:v>0.94000000000000095</c:v>
                      </c:pt>
                      <c:pt idx="189">
                        <c:v>0.94500000000000095</c:v>
                      </c:pt>
                      <c:pt idx="190">
                        <c:v>0.95000000000000095</c:v>
                      </c:pt>
                      <c:pt idx="191">
                        <c:v>0.95500000000000096</c:v>
                      </c:pt>
                      <c:pt idx="192">
                        <c:v>0.96000000000000096</c:v>
                      </c:pt>
                      <c:pt idx="193">
                        <c:v>0.96500000000000097</c:v>
                      </c:pt>
                      <c:pt idx="194">
                        <c:v>0.97000000000000097</c:v>
                      </c:pt>
                      <c:pt idx="195">
                        <c:v>0.97500000000000098</c:v>
                      </c:pt>
                      <c:pt idx="196">
                        <c:v>0.98000000000000098</c:v>
                      </c:pt>
                      <c:pt idx="197">
                        <c:v>0.98500000000000099</c:v>
                      </c:pt>
                      <c:pt idx="198">
                        <c:v>0.99000000000000099</c:v>
                      </c:pt>
                      <c:pt idx="199">
                        <c:v>0.99500000000000099</c:v>
                      </c:pt>
                      <c:pt idx="200">
                        <c:v>1</c:v>
                      </c:pt>
                      <c:pt idx="201">
                        <c:v>1.0049999999999999</c:v>
                      </c:pt>
                      <c:pt idx="202">
                        <c:v>1.01</c:v>
                      </c:pt>
                      <c:pt idx="203">
                        <c:v>1.0149999999999999</c:v>
                      </c:pt>
                      <c:pt idx="204">
                        <c:v>1.02</c:v>
                      </c:pt>
                      <c:pt idx="205">
                        <c:v>1.0249999999999999</c:v>
                      </c:pt>
                      <c:pt idx="206">
                        <c:v>1.03</c:v>
                      </c:pt>
                      <c:pt idx="207">
                        <c:v>1.0349999999999999</c:v>
                      </c:pt>
                      <c:pt idx="208">
                        <c:v>1.04</c:v>
                      </c:pt>
                      <c:pt idx="209">
                        <c:v>1.0449999999999999</c:v>
                      </c:pt>
                      <c:pt idx="210">
                        <c:v>1.05</c:v>
                      </c:pt>
                      <c:pt idx="211">
                        <c:v>1.0549999999999999</c:v>
                      </c:pt>
                      <c:pt idx="212">
                        <c:v>1.06</c:v>
                      </c:pt>
                      <c:pt idx="213">
                        <c:v>1.0649999999999999</c:v>
                      </c:pt>
                      <c:pt idx="214">
                        <c:v>1.07</c:v>
                      </c:pt>
                      <c:pt idx="215">
                        <c:v>1.075</c:v>
                      </c:pt>
                      <c:pt idx="216">
                        <c:v>1.08</c:v>
                      </c:pt>
                      <c:pt idx="217">
                        <c:v>1.085</c:v>
                      </c:pt>
                      <c:pt idx="218">
                        <c:v>1.0900000000000001</c:v>
                      </c:pt>
                      <c:pt idx="219">
                        <c:v>1.095</c:v>
                      </c:pt>
                      <c:pt idx="220">
                        <c:v>1.1000000000000001</c:v>
                      </c:pt>
                      <c:pt idx="221">
                        <c:v>1.105</c:v>
                      </c:pt>
                      <c:pt idx="222">
                        <c:v>1.1100000000000001</c:v>
                      </c:pt>
                      <c:pt idx="223">
                        <c:v>1.115</c:v>
                      </c:pt>
                      <c:pt idx="224">
                        <c:v>1.1200000000000001</c:v>
                      </c:pt>
                      <c:pt idx="225">
                        <c:v>1.125</c:v>
                      </c:pt>
                      <c:pt idx="226">
                        <c:v>1.1299999999999999</c:v>
                      </c:pt>
                      <c:pt idx="227">
                        <c:v>1.135</c:v>
                      </c:pt>
                      <c:pt idx="228">
                        <c:v>1.1399999999999999</c:v>
                      </c:pt>
                      <c:pt idx="229">
                        <c:v>1.145</c:v>
                      </c:pt>
                      <c:pt idx="230">
                        <c:v>1.1499999999999999</c:v>
                      </c:pt>
                      <c:pt idx="231">
                        <c:v>1.155</c:v>
                      </c:pt>
                      <c:pt idx="232">
                        <c:v>1.1599999999999999</c:v>
                      </c:pt>
                      <c:pt idx="233">
                        <c:v>1.165</c:v>
                      </c:pt>
                      <c:pt idx="234">
                        <c:v>1.17</c:v>
                      </c:pt>
                      <c:pt idx="235">
                        <c:v>1.175</c:v>
                      </c:pt>
                      <c:pt idx="236">
                        <c:v>1.18</c:v>
                      </c:pt>
                      <c:pt idx="237">
                        <c:v>1.1850000000000001</c:v>
                      </c:pt>
                      <c:pt idx="238">
                        <c:v>1.19</c:v>
                      </c:pt>
                      <c:pt idx="239">
                        <c:v>1.1950000000000001</c:v>
                      </c:pt>
                      <c:pt idx="240">
                        <c:v>1.2</c:v>
                      </c:pt>
                      <c:pt idx="241">
                        <c:v>1.2050000000000001</c:v>
                      </c:pt>
                      <c:pt idx="242">
                        <c:v>1.21</c:v>
                      </c:pt>
                      <c:pt idx="243">
                        <c:v>1.2150000000000001</c:v>
                      </c:pt>
                      <c:pt idx="244">
                        <c:v>1.22</c:v>
                      </c:pt>
                      <c:pt idx="245">
                        <c:v>1.2250000000000001</c:v>
                      </c:pt>
                      <c:pt idx="246">
                        <c:v>1.23</c:v>
                      </c:pt>
                      <c:pt idx="247">
                        <c:v>1.2350000000000001</c:v>
                      </c:pt>
                      <c:pt idx="248">
                        <c:v>1.24</c:v>
                      </c:pt>
                      <c:pt idx="249">
                        <c:v>1.2450000000000001</c:v>
                      </c:pt>
                      <c:pt idx="250">
                        <c:v>1.25</c:v>
                      </c:pt>
                      <c:pt idx="251">
                        <c:v>1.2549999999999999</c:v>
                      </c:pt>
                      <c:pt idx="252">
                        <c:v>1.26</c:v>
                      </c:pt>
                      <c:pt idx="253">
                        <c:v>1.2649999999999999</c:v>
                      </c:pt>
                      <c:pt idx="254">
                        <c:v>1.27</c:v>
                      </c:pt>
                      <c:pt idx="255">
                        <c:v>1.2749999999999999</c:v>
                      </c:pt>
                      <c:pt idx="256">
                        <c:v>1.28</c:v>
                      </c:pt>
                      <c:pt idx="257">
                        <c:v>1.2849999999999999</c:v>
                      </c:pt>
                      <c:pt idx="258">
                        <c:v>1.29</c:v>
                      </c:pt>
                      <c:pt idx="259">
                        <c:v>1.2949999999999999</c:v>
                      </c:pt>
                      <c:pt idx="260">
                        <c:v>1.3</c:v>
                      </c:pt>
                      <c:pt idx="261">
                        <c:v>1.3049999999999999</c:v>
                      </c:pt>
                      <c:pt idx="262">
                        <c:v>1.31</c:v>
                      </c:pt>
                      <c:pt idx="263">
                        <c:v>1.3149999999999999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V3'!$G$7:$G$270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0.47841653959318836</c:v>
                      </c:pt>
                      <c:pt idx="1">
                        <c:v>0.45227593275604761</c:v>
                      </c:pt>
                      <c:pt idx="2">
                        <c:v>0.42722425166366684</c:v>
                      </c:pt>
                      <c:pt idx="3">
                        <c:v>0.40323477446967937</c:v>
                      </c:pt>
                      <c:pt idx="4">
                        <c:v>0.38028056123217624</c:v>
                      </c:pt>
                      <c:pt idx="5">
                        <c:v>0.35833452167714924</c:v>
                      </c:pt>
                      <c:pt idx="6">
                        <c:v>0.33736947854806126</c:v>
                      </c:pt>
                      <c:pt idx="7">
                        <c:v>0.31735822672445069</c:v>
                      </c:pt>
                      <c:pt idx="8">
                        <c:v>0.29827358828803729</c:v>
                      </c:pt>
                      <c:pt idx="9">
                        <c:v>0.28008846371030938</c:v>
                      </c:pt>
                      <c:pt idx="10">
                        <c:v>0.2627758793310645</c:v>
                      </c:pt>
                      <c:pt idx="11">
                        <c:v>0.24630903129284221</c:v>
                      </c:pt>
                      <c:pt idx="12">
                        <c:v>0.23066132609165391</c:v>
                      </c:pt>
                      <c:pt idx="13">
                        <c:v>0.21580641789987892</c:v>
                      </c:pt>
                      <c:pt idx="14">
                        <c:v>0.2017182428126707</c:v>
                      </c:pt>
                      <c:pt idx="15">
                        <c:v>0.18837105016471323</c:v>
                      </c:pt>
                      <c:pt idx="16">
                        <c:v>0.17573943105968709</c:v>
                      </c:pt>
                      <c:pt idx="17">
                        <c:v>0.16379834425035877</c:v>
                      </c:pt>
                      <c:pt idx="18">
                        <c:v>0.15252313950280111</c:v>
                      </c:pt>
                      <c:pt idx="19">
                        <c:v>0.14188957857388954</c:v>
                      </c:pt>
                      <c:pt idx="20">
                        <c:v>0.13187385392691076</c:v>
                      </c:pt>
                      <c:pt idx="21">
                        <c:v>0.12245260530586372</c:v>
                      </c:pt>
                      <c:pt idx="22">
                        <c:v>0.11360293428483867</c:v>
                      </c:pt>
                      <c:pt idx="23">
                        <c:v>0.1053024169047299</c:v>
                      </c:pt>
                      <c:pt idx="24">
                        <c:v>9.7529114505474232E-2</c:v>
                      </c:pt>
                      <c:pt idx="25">
                        <c:v>9.0261582858015346E-2</c:v>
                      </c:pt>
                      <c:pt idx="26">
                        <c:v>8.3478879696276584E-2</c:v>
                      </c:pt>
                      <c:pt idx="27">
                        <c:v>7.7160570745582385E-2</c:v>
                      </c:pt>
                      <c:pt idx="28">
                        <c:v>7.1286734340205188E-2</c:v>
                      </c:pt>
                      <c:pt idx="29">
                        <c:v>6.5837964719032555E-2</c:v>
                      </c:pt>
                      <c:pt idx="30">
                        <c:v>6.0795374084747875E-2</c:v>
                      </c:pt>
                      <c:pt idx="31">
                        <c:v>5.6140593508400699E-2</c:v>
                      </c:pt>
                      <c:pt idx="32">
                        <c:v>5.1855772757809983E-2</c:v>
                      </c:pt>
                      <c:pt idx="33">
                        <c:v>4.7923579124895331E-2</c:v>
                      </c:pt>
                      <c:pt idx="34">
                        <c:v>4.4327195323770843E-2</c:v>
                      </c:pt>
                      <c:pt idx="35">
                        <c:v>4.1050316528258725E-2</c:v>
                      </c:pt>
                      <c:pt idx="36">
                        <c:v>3.8077146614392855E-2</c:v>
                      </c:pt>
                      <c:pt idx="37">
                        <c:v>3.5392393670478701E-2</c:v>
                      </c:pt>
                      <c:pt idx="38">
                        <c:v>3.2981264834360702E-2</c:v>
                      </c:pt>
                      <c:pt idx="39">
                        <c:v>3.082946051471766E-2</c:v>
                      </c:pt>
                      <c:pt idx="40">
                        <c:v>2.8923168050463327E-2</c:v>
                      </c:pt>
                      <c:pt idx="41">
                        <c:v>2.7249054859668685E-2</c:v>
                      </c:pt>
                      <c:pt idx="42">
                        <c:v>2.5794261126849023E-2</c:v>
                      </c:pt>
                      <c:pt idx="43">
                        <c:v>2.4546392074965742E-2</c:v>
                      </c:pt>
                      <c:pt idx="44">
                        <c:v>2.3493509866085706E-2</c:v>
                      </c:pt>
                      <c:pt idx="45">
                        <c:v>2.2624125172312076E-2</c:v>
                      </c:pt>
                      <c:pt idx="46">
                        <c:v>2.1927188456354253E-2</c:v>
                      </c:pt>
                      <c:pt idx="47">
                        <c:v>2.1392080998936878E-2</c:v>
                      </c:pt>
                      <c:pt idx="48">
                        <c:v>2.100860570815774E-2</c:v>
                      </c:pt>
                      <c:pt idx="49">
                        <c:v>2.0766977743891281E-2</c:v>
                      </c:pt>
                      <c:pt idx="50">
                        <c:v>2.0657814988396472E-2</c:v>
                      </c:pt>
                      <c:pt idx="51">
                        <c:v>2.0672128392423841E-2</c:v>
                      </c:pt>
                      <c:pt idx="52">
                        <c:v>2.0801312224323708E-2</c:v>
                      </c:pt>
                      <c:pt idx="53">
                        <c:v>2.1037134247937669E-2</c:v>
                      </c:pt>
                      <c:pt idx="54">
                        <c:v>2.1371725853402586E-2</c:v>
                      </c:pt>
                      <c:pt idx="55">
                        <c:v>2.1797572163412327E-2</c:v>
                      </c:pt>
                      <c:pt idx="56">
                        <c:v>2.230750213596417E-2</c:v>
                      </c:pt>
                      <c:pt idx="57">
                        <c:v>2.2894678683163264E-2</c:v>
                      </c:pt>
                      <c:pt idx="58">
                        <c:v>2.3552588824266849E-2</c:v>
                      </c:pt>
                      <c:pt idx="59">
                        <c:v>2.4275033889820344E-2</c:v>
                      </c:pt>
                      <c:pt idx="60">
                        <c:v>2.5056119792467163E-2</c:v>
                      </c:pt>
                      <c:pt idx="61">
                        <c:v>2.589024737880085E-2</c:v>
                      </c:pt>
                      <c:pt idx="62">
                        <c:v>2.6772102875472187E-2</c:v>
                      </c:pt>
                      <c:pt idx="63">
                        <c:v>2.769664844166185E-2</c:v>
                      </c:pt>
                      <c:pt idx="64">
                        <c:v>2.8659112838979844E-2</c:v>
                      </c:pt>
                      <c:pt idx="65">
                        <c:v>2.9654982228855931E-2</c:v>
                      </c:pt>
                      <c:pt idx="66">
                        <c:v>3.0679991106536089E-2</c:v>
                      </c:pt>
                      <c:pt idx="67">
                        <c:v>3.173011337990117E-2</c:v>
                      </c:pt>
                      <c:pt idx="68">
                        <c:v>3.2801553600469303E-2</c:v>
                      </c:pt>
                      <c:pt idx="69">
                        <c:v>3.3890738353135809E-2</c:v>
                      </c:pt>
                      <c:pt idx="70">
                        <c:v>3.4994307810438545E-2</c:v>
                      </c:pt>
                      <c:pt idx="71">
                        <c:v>3.6109107456413367E-2</c:v>
                      </c:pt>
                      <c:pt idx="72">
                        <c:v>3.7232179984421535E-2</c:v>
                      </c:pt>
                      <c:pt idx="73">
                        <c:v>3.8360757372686551E-2</c:v>
                      </c:pt>
                      <c:pt idx="74">
                        <c:v>3.9492253140671105E-2</c:v>
                      </c:pt>
                      <c:pt idx="75">
                        <c:v>4.0624254788854473E-2</c:v>
                      </c:pt>
                      <c:pt idx="76">
                        <c:v>4.1754516423934303E-2</c:v>
                      </c:pt>
                      <c:pt idx="77">
                        <c:v>4.2880951570974407E-2</c:v>
                      </c:pt>
                      <c:pt idx="78">
                        <c:v>4.400162617354899E-2</c:v>
                      </c:pt>
                      <c:pt idx="79">
                        <c:v>4.5114751782493766E-2</c:v>
                      </c:pt>
                      <c:pt idx="80">
                        <c:v>4.621867893346384E-2</c:v>
                      </c:pt>
                      <c:pt idx="81">
                        <c:v>4.7311890713115354E-2</c:v>
                      </c:pt>
                      <c:pt idx="82">
                        <c:v>4.8392996513372248E-2</c:v>
                      </c:pt>
                      <c:pt idx="83">
                        <c:v>4.9460725972910013E-2</c:v>
                      </c:pt>
                      <c:pt idx="84">
                        <c:v>5.0513923104682182E-2</c:v>
                      </c:pt>
                      <c:pt idx="85">
                        <c:v>5.1551540608034435E-2</c:v>
                      </c:pt>
                      <c:pt idx="86">
                        <c:v>5.2572634363691209E-2</c:v>
                      </c:pt>
                      <c:pt idx="87">
                        <c:v>5.3576358109661819E-2</c:v>
                      </c:pt>
                      <c:pt idx="88">
                        <c:v>5.4561958295895628E-2</c:v>
                      </c:pt>
                      <c:pt idx="89">
                        <c:v>5.5528769115317261E-2</c:v>
                      </c:pt>
                      <c:pt idx="90">
                        <c:v>5.6476207708693174E-2</c:v>
                      </c:pt>
                      <c:pt idx="91">
                        <c:v>5.7403769540618196E-2</c:v>
                      </c:pt>
                      <c:pt idx="92">
                        <c:v>5.8311023943765222E-2</c:v>
                      </c:pt>
                      <c:pt idx="93">
                        <c:v>5.9197609828410637E-2</c:v>
                      </c:pt>
                      <c:pt idx="94">
                        <c:v>6.006323155413313E-2</c:v>
                      </c:pt>
                      <c:pt idx="95">
                        <c:v>6.090765496048231E-2</c:v>
                      </c:pt>
                      <c:pt idx="96">
                        <c:v>6.1730703553325328E-2</c:v>
                      </c:pt>
                      <c:pt idx="97">
                        <c:v>6.253225484350497E-2</c:v>
                      </c:pt>
                      <c:pt idx="98">
                        <c:v>6.3312236834378324E-2</c:v>
                      </c:pt>
                      <c:pt idx="99">
                        <c:v>6.4070624654753425E-2</c:v>
                      </c:pt>
                      <c:pt idx="100">
                        <c:v>6.4807437333698731E-2</c:v>
                      </c:pt>
                      <c:pt idx="101">
                        <c:v>6.5522734713668401E-2</c:v>
                      </c:pt>
                      <c:pt idx="102">
                        <c:v>6.6216614498363288E-2</c:v>
                      </c:pt>
                      <c:pt idx="103">
                        <c:v>6.6889209431732835E-2</c:v>
                      </c:pt>
                      <c:pt idx="104">
                        <c:v>6.7540684604517315E-2</c:v>
                      </c:pt>
                      <c:pt idx="105">
                        <c:v>6.8171234884730078E-2</c:v>
                      </c:pt>
                      <c:pt idx="106">
                        <c:v>6.8781082468488366E-2</c:v>
                      </c:pt>
                      <c:pt idx="107">
                        <c:v>6.9370474547614927E-2</c:v>
                      </c:pt>
                      <c:pt idx="108">
                        <c:v>6.9939681090453815E-2</c:v>
                      </c:pt>
                      <c:pt idx="109">
                        <c:v>7.0488992732369415E-2</c:v>
                      </c:pt>
                      <c:pt idx="110">
                        <c:v>7.1018718772428699E-2</c:v>
                      </c:pt>
                      <c:pt idx="111">
                        <c:v>7.1529185272802831E-2</c:v>
                      </c:pt>
                      <c:pt idx="112">
                        <c:v>7.2020733257464095E-2</c:v>
                      </c:pt>
                      <c:pt idx="113">
                        <c:v>7.2493717006797756E-2</c:v>
                      </c:pt>
                      <c:pt idx="114">
                        <c:v>7.2948502444796837E-2</c:v>
                      </c:pt>
                      <c:pt idx="115">
                        <c:v>7.3385465615557241E-2</c:v>
                      </c:pt>
                      <c:pt idx="116">
                        <c:v>7.3804991245845497E-2</c:v>
                      </c:pt>
                      <c:pt idx="117">
                        <c:v>7.4207471390566604E-2</c:v>
                      </c:pt>
                      <c:pt idx="118">
                        <c:v>7.4593304158018653E-2</c:v>
                      </c:pt>
                      <c:pt idx="119">
                        <c:v>7.4962892511880624E-2</c:v>
                      </c:pt>
                      <c:pt idx="120">
                        <c:v>7.5316643146942863E-2</c:v>
                      </c:pt>
                      <c:pt idx="121">
                        <c:v>7.5654965435652768E-2</c:v>
                      </c:pt>
                      <c:pt idx="122">
                        <c:v>7.5978270442613655E-2</c:v>
                      </c:pt>
                      <c:pt idx="123">
                        <c:v>7.6286970004240826E-2</c:v>
                      </c:pt>
                      <c:pt idx="124">
                        <c:v>7.6581475870845753E-2</c:v>
                      </c:pt>
                      <c:pt idx="125">
                        <c:v>7.6862198908487125E-2</c:v>
                      </c:pt>
                      <c:pt idx="126">
                        <c:v>7.7129548357995403E-2</c:v>
                      </c:pt>
                      <c:pt idx="127">
                        <c:v>7.7383931148646376E-2</c:v>
                      </c:pt>
                      <c:pt idx="128">
                        <c:v>7.7625751264027487E-2</c:v>
                      </c:pt>
                      <c:pt idx="129">
                        <c:v>7.7855409157709693E-2</c:v>
                      </c:pt>
                      <c:pt idx="130">
                        <c:v>7.8073301216406057E-2</c:v>
                      </c:pt>
                      <c:pt idx="131">
                        <c:v>7.8279819268366621E-2</c:v>
                      </c:pt>
                      <c:pt idx="132">
                        <c:v>7.8475350134827093E-2</c:v>
                      </c:pt>
                      <c:pt idx="133">
                        <c:v>7.8660275222396533E-2</c:v>
                      </c:pt>
                      <c:pt idx="134">
                        <c:v>7.8834970154336007E-2</c:v>
                      </c:pt>
                      <c:pt idx="135">
                        <c:v>7.8999804438746574E-2</c:v>
                      </c:pt>
                      <c:pt idx="136">
                        <c:v>7.9155141171750668E-2</c:v>
                      </c:pt>
                      <c:pt idx="137">
                        <c:v>7.9301336773815484E-2</c:v>
                      </c:pt>
                      <c:pt idx="138">
                        <c:v>7.9438740757431001E-2</c:v>
                      </c:pt>
                      <c:pt idx="139">
                        <c:v>7.9567695524418197E-2</c:v>
                      </c:pt>
                      <c:pt idx="140">
                        <c:v>7.968853619120489E-2</c:v>
                      </c:pt>
                      <c:pt idx="141">
                        <c:v>7.9801590440467626E-2</c:v>
                      </c:pt>
                      <c:pt idx="142">
                        <c:v>7.9907178397597589E-2</c:v>
                      </c:pt>
                      <c:pt idx="143">
                        <c:v>8.0005612530507433E-2</c:v>
                      </c:pt>
                      <c:pt idx="144">
                        <c:v>8.0097197571353085E-2</c:v>
                      </c:pt>
                      <c:pt idx="145">
                        <c:v>8.0182230458801199E-2</c:v>
                      </c:pt>
                      <c:pt idx="146">
                        <c:v>8.0261000299527416E-2</c:v>
                      </c:pt>
                      <c:pt idx="147">
                        <c:v>8.0333788347684967E-2</c:v>
                      </c:pt>
                      <c:pt idx="148">
                        <c:v>8.040086800113519E-2</c:v>
                      </c:pt>
                      <c:pt idx="149">
                        <c:v>8.0462504813282876E-2</c:v>
                      </c:pt>
                      <c:pt idx="150">
                        <c:v>8.051895651940931E-2</c:v>
                      </c:pt>
                      <c:pt idx="151">
                        <c:v>8.0570473076444465E-2</c:v>
                      </c:pt>
                      <c:pt idx="152">
                        <c:v>8.0617296715167042E-2</c:v>
                      </c:pt>
                      <c:pt idx="153">
                        <c:v>8.0659662003867011E-2</c:v>
                      </c:pt>
                      <c:pt idx="154">
                        <c:v>8.0697795922550122E-2</c:v>
                      </c:pt>
                      <c:pt idx="155">
                        <c:v>8.0731917946807133E-2</c:v>
                      </c:pt>
                      <c:pt idx="156">
                        <c:v>8.0762240140512337E-2</c:v>
                      </c:pt>
                      <c:pt idx="157">
                        <c:v>8.0788967256557459E-2</c:v>
                      </c:pt>
                      <c:pt idx="158">
                        <c:v>8.081229684486535E-2</c:v>
                      </c:pt>
                      <c:pt idx="159">
                        <c:v>8.0832419366967459E-2</c:v>
                      </c:pt>
                      <c:pt idx="160">
                        <c:v>8.084951831646485E-2</c:v>
                      </c:pt>
                      <c:pt idx="161">
                        <c:v>8.0863770344728997E-2</c:v>
                      </c:pt>
                      <c:pt idx="162">
                        <c:v>8.0875345391232895E-2</c:v>
                      </c:pt>
                      <c:pt idx="163">
                        <c:v>8.0884406817936183E-2</c:v>
                      </c:pt>
                      <c:pt idx="164">
                        <c:v>8.0891111547180233E-2</c:v>
                      </c:pt>
                      <c:pt idx="165">
                        <c:v>8.0895610202580182E-2</c:v>
                      </c:pt>
                      <c:pt idx="166">
                        <c:v>8.08980472524303E-2</c:v>
                      </c:pt>
                      <c:pt idx="167">
                        <c:v>8.08985611551684E-2</c:v>
                      </c:pt>
                      <c:pt idx="168">
                        <c:v>8.0897284506471753E-2</c:v>
                      </c:pt>
                      <c:pt idx="169">
                        <c:v>8.0894344187584219E-2</c:v>
                      </c:pt>
                      <c:pt idx="170">
                        <c:v>8.0889861514499228E-2</c:v>
                      </c:pt>
                      <c:pt idx="171">
                        <c:v>8.0883952387647881E-2</c:v>
                      </c:pt>
                      <c:pt idx="172">
                        <c:v>8.0876727441764662E-2</c:v>
                      </c:pt>
                      <c:pt idx="173">
                        <c:v>8.0868292195625802E-2</c:v>
                      </c:pt>
                      <c:pt idx="174">
                        <c:v>8.0858747201376729E-2</c:v>
                      </c:pt>
                      <c:pt idx="175">
                        <c:v>8.0848188193185469E-2</c:v>
                      </c:pt>
                      <c:pt idx="176">
                        <c:v>8.0836706234978531E-2</c:v>
                      </c:pt>
                      <c:pt idx="177">
                        <c:v>8.082438786703447E-2</c:v>
                      </c:pt>
                      <c:pt idx="178">
                        <c:v>8.0811315251228283E-2</c:v>
                      </c:pt>
                      <c:pt idx="179">
                        <c:v>8.079756631473653E-2</c:v>
                      </c:pt>
                      <c:pt idx="180">
                        <c:v>8.0783214892029692E-2</c:v>
                      </c:pt>
                      <c:pt idx="181">
                        <c:v>8.0768330864993243E-2</c:v>
                      </c:pt>
                      <c:pt idx="182">
                        <c:v>8.0752980301033908E-2</c:v>
                      </c:pt>
                      <c:pt idx="183">
                        <c:v>8.0737225589041242E-2</c:v>
                      </c:pt>
                      <c:pt idx="184">
                        <c:v>8.0721125573088193E-2</c:v>
                      </c:pt>
                      <c:pt idx="185">
                        <c:v>8.070473568376639E-2</c:v>
                      </c:pt>
                      <c:pt idx="186">
                        <c:v>8.0688108067064016E-2</c:v>
                      </c:pt>
                      <c:pt idx="187">
                        <c:v>8.0671291710705501E-2</c:v>
                      </c:pt>
                      <c:pt idx="188">
                        <c:v>8.0654332567882334E-2</c:v>
                      </c:pt>
                      <c:pt idx="189">
                        <c:v>8.0637273678314705E-2</c:v>
                      </c:pt>
                      <c:pt idx="190">
                        <c:v>8.0620155286593109E-2</c:v>
                      </c:pt>
                      <c:pt idx="191">
                        <c:v>8.0603014957757527E-2</c:v>
                      </c:pt>
                      <c:pt idx="192">
                        <c:v>8.058588769008046E-2</c:v>
                      </c:pt>
                      <c:pt idx="193">
                        <c:v>8.0568806025027945E-2</c:v>
                      </c:pt>
                      <c:pt idx="194">
                        <c:v>8.055180015437953E-2</c:v>
                      </c:pt>
                      <c:pt idx="195">
                        <c:v>8.0534898024495719E-2</c:v>
                      </c:pt>
                      <c:pt idx="196">
                        <c:v>8.0518125437727128E-2</c:v>
                      </c:pt>
                      <c:pt idx="197">
                        <c:v>8.0501506150966129E-2</c:v>
                      </c:pt>
                      <c:pt idx="198">
                        <c:v>8.0485061971346736E-2</c:v>
                      </c:pt>
                      <c:pt idx="199">
                        <c:v>8.046881284910426E-2</c:v>
                      </c:pt>
                      <c:pt idx="200">
                        <c:v>8.0452776967610398E-2</c:v>
                      </c:pt>
                      <c:pt idx="201">
                        <c:v>8.0436970830604346E-2</c:v>
                      </c:pt>
                      <c:pt idx="202">
                        <c:v>8.0421409346644282E-2</c:v>
                      </c:pt>
                      <c:pt idx="203">
                        <c:v>8.0406105910807366E-2</c:v>
                      </c:pt>
                      <c:pt idx="204">
                        <c:v>8.0391072483669959E-2</c:v>
                      </c:pt>
                      <c:pt idx="205">
                        <c:v>8.0376319667602544E-2</c:v>
                      </c:pt>
                      <c:pt idx="206">
                        <c:v>8.0361856780417185E-2</c:v>
                      </c:pt>
                      <c:pt idx="207">
                        <c:v>8.0347691926407269E-2</c:v>
                      </c:pt>
                      <c:pt idx="208">
                        <c:v>8.0333832064822322E-2</c:v>
                      </c:pt>
                      <c:pt idx="209">
                        <c:v>8.0320283075822008E-2</c:v>
                      </c:pt>
                      <c:pt idx="210">
                        <c:v>8.0307049823955881E-2</c:v>
                      </c:pt>
                      <c:pt idx="211">
                        <c:v>8.0294136219216578E-2</c:v>
                      </c:pt>
                      <c:pt idx="212">
                        <c:v>8.0281545275716071E-2</c:v>
                      </c:pt>
                      <c:pt idx="213">
                        <c:v>8.0269279168035237E-2</c:v>
                      </c:pt>
                      <c:pt idx="214">
                        <c:v>8.0257339285298421E-2</c:v>
                      </c:pt>
                      <c:pt idx="215">
                        <c:v>8.0245726283025592E-2</c:v>
                      </c:pt>
                      <c:pt idx="216">
                        <c:v>8.0234440132814902E-2</c:v>
                      </c:pt>
                      <c:pt idx="217">
                        <c:v>8.0223480169909572E-2</c:v>
                      </c:pt>
                      <c:pt idx="218">
                        <c:v>8.0212845138703262E-2</c:v>
                      </c:pt>
                      <c:pt idx="219">
                        <c:v>8.0202533236237855E-2</c:v>
                      </c:pt>
                      <c:pt idx="220">
                        <c:v>8.0192542153748714E-2</c:v>
                      </c:pt>
                      <c:pt idx="221">
                        <c:v>8.0182869116311437E-2</c:v>
                      </c:pt>
                      <c:pt idx="222">
                        <c:v>8.0173510920644925E-2</c:v>
                      </c:pt>
                      <c:pt idx="223">
                        <c:v>8.0164463971124783E-2</c:v>
                      </c:pt>
                      <c:pt idx="224">
                        <c:v>8.015572431406115E-2</c:v>
                      </c:pt>
                      <c:pt idx="225">
                        <c:v>8.0147287670294609E-2</c:v>
                      </c:pt>
                      <c:pt idx="226">
                        <c:v>8.0139149466163226E-2</c:v>
                      </c:pt>
                      <c:pt idx="227">
                        <c:v>8.0131304862893563E-2</c:v>
                      </c:pt>
                      <c:pt idx="228">
                        <c:v>8.0123748784467666E-2</c:v>
                      </c:pt>
                      <c:pt idx="229">
                        <c:v>8.011647594401744E-2</c:v>
                      </c:pt>
                      <c:pt idx="230">
                        <c:v>8.0109480868797323E-2</c:v>
                      </c:pt>
                      <c:pt idx="231">
                        <c:v>8.010275792378492E-2</c:v>
                      </c:pt>
                      <c:pt idx="232">
                        <c:v>8.0096301333959327E-2</c:v>
                      </c:pt>
                      <c:pt idx="233">
                        <c:v>8.009010520530499E-2</c:v>
                      </c:pt>
                      <c:pt idx="234">
                        <c:v>8.0084163544588929E-2</c:v>
                      </c:pt>
                      <c:pt idx="235">
                        <c:v>8.0078470277957836E-2</c:v>
                      </c:pt>
                      <c:pt idx="236">
                        <c:v>8.0073019268400616E-2</c:v>
                      </c:pt>
                      <c:pt idx="237">
                        <c:v>8.0067804332121267E-2</c:v>
                      </c:pt>
                      <c:pt idx="238">
                        <c:v>8.0062819253865672E-2</c:v>
                      </c:pt>
                      <c:pt idx="239">
                        <c:v>8.0058057801245017E-2</c:v>
                      </c:pt>
                      <c:pt idx="240">
                        <c:v>8.0053513738097812E-2</c:v>
                      </c:pt>
                      <c:pt idx="241">
                        <c:v>8.0049180836930883E-2</c:v>
                      </c:pt>
                      <c:pt idx="242">
                        <c:v>8.0045052890479168E-2</c:v>
                      </c:pt>
                      <c:pt idx="243">
                        <c:v>8.0041123722423085E-2</c:v>
                      </c:pt>
                      <c:pt idx="244">
                        <c:v>8.0037387197300858E-2</c:v>
                      </c:pt>
                      <c:pt idx="245">
                        <c:v>8.0033837229652363E-2</c:v>
                      </c:pt>
                      <c:pt idx="246">
                        <c:v>8.003046779243031E-2</c:v>
                      </c:pt>
                      <c:pt idx="247">
                        <c:v>8.0027272924712858E-2</c:v>
                      </c:pt>
                      <c:pt idx="248">
                        <c:v>8.0024246738751373E-2</c:v>
                      </c:pt>
                      <c:pt idx="249">
                        <c:v>8.0021383426385664E-2</c:v>
                      </c:pt>
                      <c:pt idx="250">
                        <c:v>8.0018677264858146E-2</c:v>
                      </c:pt>
                      <c:pt idx="251">
                        <c:v>8.001612262205729E-2</c:v>
                      </c:pt>
                      <c:pt idx="252">
                        <c:v>8.0013713961219785E-2</c:v>
                      </c:pt>
                      <c:pt idx="253">
                        <c:v>8.001144584511985E-2</c:v>
                      </c:pt>
                      <c:pt idx="254">
                        <c:v>8.0009312939773092E-2</c:v>
                      </c:pt>
                      <c:pt idx="255">
                        <c:v>8.0007310017681521E-2</c:v>
                      </c:pt>
                      <c:pt idx="256">
                        <c:v>8.0005431960645038E-2</c:v>
                      </c:pt>
                      <c:pt idx="257">
                        <c:v>8.0003673762164315E-2</c:v>
                      </c:pt>
                      <c:pt idx="258">
                        <c:v>8.0002030529458409E-2</c:v>
                      </c:pt>
                      <c:pt idx="259">
                        <c:v>8.000049748512035E-2</c:v>
                      </c:pt>
                      <c:pt idx="260">
                        <c:v>7.9999069968432215E-2</c:v>
                      </c:pt>
                      <c:pt idx="261">
                        <c:v>7.9997743436361055E-2</c:v>
                      </c:pt>
                      <c:pt idx="262">
                        <c:v>7.9996513464255736E-2</c:v>
                      </c:pt>
                      <c:pt idx="263">
                        <c:v>7.9995375746264252E-2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533-4F49-87A1-EEF509FB0D0C}"/>
                  </c:ext>
                </c:extLst>
              </c15:ser>
            </c15:filteredScatterSeries>
            <c15:filteredScatterSeries>
              <c15:ser>
                <c:idx val="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V3'!$L$6</c15:sqref>
                        </c15:formulaRef>
                      </c:ext>
                    </c:extLst>
                    <c:strCache>
                      <c:ptCount val="1"/>
                      <c:pt idx="0">
                        <c:v>Expected second order response with margin (high)+tunnel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V3'!$A$7:$A$270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</c:v>
                      </c:pt>
                      <c:pt idx="1">
                        <c:v>5.0000000000000001E-3</c:v>
                      </c:pt>
                      <c:pt idx="2">
                        <c:v>0.01</c:v>
                      </c:pt>
                      <c:pt idx="3">
                        <c:v>1.4999999999999999E-2</c:v>
                      </c:pt>
                      <c:pt idx="4">
                        <c:v>0.02</c:v>
                      </c:pt>
                      <c:pt idx="5">
                        <c:v>2.5000000000000001E-2</c:v>
                      </c:pt>
                      <c:pt idx="6">
                        <c:v>0.03</c:v>
                      </c:pt>
                      <c:pt idx="7">
                        <c:v>3.5000000000000003E-2</c:v>
                      </c:pt>
                      <c:pt idx="8">
                        <c:v>0.04</c:v>
                      </c:pt>
                      <c:pt idx="9">
                        <c:v>4.4999999999999998E-2</c:v>
                      </c:pt>
                      <c:pt idx="10">
                        <c:v>0.05</c:v>
                      </c:pt>
                      <c:pt idx="11">
                        <c:v>5.5E-2</c:v>
                      </c:pt>
                      <c:pt idx="12">
                        <c:v>0.06</c:v>
                      </c:pt>
                      <c:pt idx="13">
                        <c:v>6.5000000000000002E-2</c:v>
                      </c:pt>
                      <c:pt idx="14">
                        <c:v>7.0000000000000007E-2</c:v>
                      </c:pt>
                      <c:pt idx="15">
                        <c:v>7.4999999999999997E-2</c:v>
                      </c:pt>
                      <c:pt idx="16">
                        <c:v>0.08</c:v>
                      </c:pt>
                      <c:pt idx="17">
                        <c:v>8.5000000000000006E-2</c:v>
                      </c:pt>
                      <c:pt idx="18">
                        <c:v>0.09</c:v>
                      </c:pt>
                      <c:pt idx="19">
                        <c:v>9.5000000000000001E-2</c:v>
                      </c:pt>
                      <c:pt idx="20">
                        <c:v>0.1</c:v>
                      </c:pt>
                      <c:pt idx="21">
                        <c:v>0.105</c:v>
                      </c:pt>
                      <c:pt idx="22">
                        <c:v>0.11</c:v>
                      </c:pt>
                      <c:pt idx="23">
                        <c:v>0.115</c:v>
                      </c:pt>
                      <c:pt idx="24">
                        <c:v>0.12</c:v>
                      </c:pt>
                      <c:pt idx="25">
                        <c:v>0.125</c:v>
                      </c:pt>
                      <c:pt idx="26">
                        <c:v>0.13</c:v>
                      </c:pt>
                      <c:pt idx="27">
                        <c:v>0.13500000000000001</c:v>
                      </c:pt>
                      <c:pt idx="28">
                        <c:v>0.14000000000000001</c:v>
                      </c:pt>
                      <c:pt idx="29">
                        <c:v>0.14499999999999999</c:v>
                      </c:pt>
                      <c:pt idx="30">
                        <c:v>0.15</c:v>
                      </c:pt>
                      <c:pt idx="31">
                        <c:v>0.155</c:v>
                      </c:pt>
                      <c:pt idx="32">
                        <c:v>0.16</c:v>
                      </c:pt>
                      <c:pt idx="33">
                        <c:v>0.16500000000000001</c:v>
                      </c:pt>
                      <c:pt idx="34">
                        <c:v>0.17</c:v>
                      </c:pt>
                      <c:pt idx="35">
                        <c:v>0.17499999999999999</c:v>
                      </c:pt>
                      <c:pt idx="36">
                        <c:v>0.18</c:v>
                      </c:pt>
                      <c:pt idx="37">
                        <c:v>0.185</c:v>
                      </c:pt>
                      <c:pt idx="38">
                        <c:v>0.19</c:v>
                      </c:pt>
                      <c:pt idx="39">
                        <c:v>0.19500000000000001</c:v>
                      </c:pt>
                      <c:pt idx="40">
                        <c:v>0.2</c:v>
                      </c:pt>
                      <c:pt idx="41">
                        <c:v>0.20499999999999999</c:v>
                      </c:pt>
                      <c:pt idx="42">
                        <c:v>0.21</c:v>
                      </c:pt>
                      <c:pt idx="43">
                        <c:v>0.215</c:v>
                      </c:pt>
                      <c:pt idx="44">
                        <c:v>0.22</c:v>
                      </c:pt>
                      <c:pt idx="45">
                        <c:v>0.22500000000000001</c:v>
                      </c:pt>
                      <c:pt idx="46">
                        <c:v>0.23</c:v>
                      </c:pt>
                      <c:pt idx="47">
                        <c:v>0.23499999999999999</c:v>
                      </c:pt>
                      <c:pt idx="48">
                        <c:v>0.24</c:v>
                      </c:pt>
                      <c:pt idx="49">
                        <c:v>0.245</c:v>
                      </c:pt>
                      <c:pt idx="50">
                        <c:v>0.25</c:v>
                      </c:pt>
                      <c:pt idx="51">
                        <c:v>0.255</c:v>
                      </c:pt>
                      <c:pt idx="52">
                        <c:v>0.26</c:v>
                      </c:pt>
                      <c:pt idx="53">
                        <c:v>0.26500000000000001</c:v>
                      </c:pt>
                      <c:pt idx="54">
                        <c:v>0.27</c:v>
                      </c:pt>
                      <c:pt idx="55">
                        <c:v>0.27500000000000002</c:v>
                      </c:pt>
                      <c:pt idx="56">
                        <c:v>0.28000000000000003</c:v>
                      </c:pt>
                      <c:pt idx="57">
                        <c:v>0.28499999999999998</c:v>
                      </c:pt>
                      <c:pt idx="58">
                        <c:v>0.28999999999999998</c:v>
                      </c:pt>
                      <c:pt idx="59">
                        <c:v>0.29499999999999998</c:v>
                      </c:pt>
                      <c:pt idx="60">
                        <c:v>0.3</c:v>
                      </c:pt>
                      <c:pt idx="61">
                        <c:v>0.30499999999999999</c:v>
                      </c:pt>
                      <c:pt idx="62">
                        <c:v>0.31</c:v>
                      </c:pt>
                      <c:pt idx="63">
                        <c:v>0.315</c:v>
                      </c:pt>
                      <c:pt idx="64">
                        <c:v>0.32</c:v>
                      </c:pt>
                      <c:pt idx="65">
                        <c:v>0.32500000000000001</c:v>
                      </c:pt>
                      <c:pt idx="66">
                        <c:v>0.33</c:v>
                      </c:pt>
                      <c:pt idx="67">
                        <c:v>0.33500000000000002</c:v>
                      </c:pt>
                      <c:pt idx="68">
                        <c:v>0.34</c:v>
                      </c:pt>
                      <c:pt idx="69">
                        <c:v>0.34499999999999997</c:v>
                      </c:pt>
                      <c:pt idx="70">
                        <c:v>0.35</c:v>
                      </c:pt>
                      <c:pt idx="71">
                        <c:v>0.35499999999999998</c:v>
                      </c:pt>
                      <c:pt idx="72">
                        <c:v>0.36</c:v>
                      </c:pt>
                      <c:pt idx="73">
                        <c:v>0.36499999999999999</c:v>
                      </c:pt>
                      <c:pt idx="74">
                        <c:v>0.37</c:v>
                      </c:pt>
                      <c:pt idx="75">
                        <c:v>0.375</c:v>
                      </c:pt>
                      <c:pt idx="76">
                        <c:v>0.38</c:v>
                      </c:pt>
                      <c:pt idx="77">
                        <c:v>0.38500000000000001</c:v>
                      </c:pt>
                      <c:pt idx="78">
                        <c:v>0.39</c:v>
                      </c:pt>
                      <c:pt idx="79">
                        <c:v>0.39500000000000002</c:v>
                      </c:pt>
                      <c:pt idx="80">
                        <c:v>0.4</c:v>
                      </c:pt>
                      <c:pt idx="81">
                        <c:v>0.40500000000000003</c:v>
                      </c:pt>
                      <c:pt idx="82">
                        <c:v>0.41</c:v>
                      </c:pt>
                      <c:pt idx="83">
                        <c:v>0.41499999999999998</c:v>
                      </c:pt>
                      <c:pt idx="84">
                        <c:v>0.42</c:v>
                      </c:pt>
                      <c:pt idx="85">
                        <c:v>0.42499999999999999</c:v>
                      </c:pt>
                      <c:pt idx="86">
                        <c:v>0.43</c:v>
                      </c:pt>
                      <c:pt idx="87">
                        <c:v>0.435</c:v>
                      </c:pt>
                      <c:pt idx="88">
                        <c:v>0.44</c:v>
                      </c:pt>
                      <c:pt idx="89">
                        <c:v>0.44500000000000001</c:v>
                      </c:pt>
                      <c:pt idx="90">
                        <c:v>0.45</c:v>
                      </c:pt>
                      <c:pt idx="91">
                        <c:v>0.45500000000000002</c:v>
                      </c:pt>
                      <c:pt idx="92">
                        <c:v>0.46</c:v>
                      </c:pt>
                      <c:pt idx="93">
                        <c:v>0.46500000000000002</c:v>
                      </c:pt>
                      <c:pt idx="94">
                        <c:v>0.47</c:v>
                      </c:pt>
                      <c:pt idx="95">
                        <c:v>0.47499999999999998</c:v>
                      </c:pt>
                      <c:pt idx="96">
                        <c:v>0.48</c:v>
                      </c:pt>
                      <c:pt idx="97">
                        <c:v>0.48499999999999999</c:v>
                      </c:pt>
                      <c:pt idx="98">
                        <c:v>0.49</c:v>
                      </c:pt>
                      <c:pt idx="99">
                        <c:v>0.495</c:v>
                      </c:pt>
                      <c:pt idx="100">
                        <c:v>0.5</c:v>
                      </c:pt>
                      <c:pt idx="101">
                        <c:v>0.505</c:v>
                      </c:pt>
                      <c:pt idx="102">
                        <c:v>0.51</c:v>
                      </c:pt>
                      <c:pt idx="103">
                        <c:v>0.51500000000000001</c:v>
                      </c:pt>
                      <c:pt idx="104">
                        <c:v>0.52</c:v>
                      </c:pt>
                      <c:pt idx="105">
                        <c:v>0.52500000000000002</c:v>
                      </c:pt>
                      <c:pt idx="106">
                        <c:v>0.53</c:v>
                      </c:pt>
                      <c:pt idx="107">
                        <c:v>0.53500000000000003</c:v>
                      </c:pt>
                      <c:pt idx="108">
                        <c:v>0.54</c:v>
                      </c:pt>
                      <c:pt idx="109">
                        <c:v>0.54500000000000004</c:v>
                      </c:pt>
                      <c:pt idx="110">
                        <c:v>0.55000000000000004</c:v>
                      </c:pt>
                      <c:pt idx="111">
                        <c:v>0.55500000000000005</c:v>
                      </c:pt>
                      <c:pt idx="112">
                        <c:v>0.56000000000000005</c:v>
                      </c:pt>
                      <c:pt idx="113">
                        <c:v>0.56499999999999995</c:v>
                      </c:pt>
                      <c:pt idx="114">
                        <c:v>0.56999999999999995</c:v>
                      </c:pt>
                      <c:pt idx="115">
                        <c:v>0.57499999999999996</c:v>
                      </c:pt>
                      <c:pt idx="116">
                        <c:v>0.57999999999999996</c:v>
                      </c:pt>
                      <c:pt idx="117">
                        <c:v>0.58499999999999996</c:v>
                      </c:pt>
                      <c:pt idx="118">
                        <c:v>0.59</c:v>
                      </c:pt>
                      <c:pt idx="119">
                        <c:v>0.59499999999999997</c:v>
                      </c:pt>
                      <c:pt idx="120">
                        <c:v>0.6</c:v>
                      </c:pt>
                      <c:pt idx="121">
                        <c:v>0.60499999999999998</c:v>
                      </c:pt>
                      <c:pt idx="122">
                        <c:v>0.61</c:v>
                      </c:pt>
                      <c:pt idx="123">
                        <c:v>0.61499999999999999</c:v>
                      </c:pt>
                      <c:pt idx="124">
                        <c:v>0.62</c:v>
                      </c:pt>
                      <c:pt idx="125">
                        <c:v>0.625</c:v>
                      </c:pt>
                      <c:pt idx="126">
                        <c:v>0.63</c:v>
                      </c:pt>
                      <c:pt idx="127">
                        <c:v>0.63500000000000001</c:v>
                      </c:pt>
                      <c:pt idx="128">
                        <c:v>0.64</c:v>
                      </c:pt>
                      <c:pt idx="129">
                        <c:v>0.64500000000000002</c:v>
                      </c:pt>
                      <c:pt idx="130">
                        <c:v>0.65</c:v>
                      </c:pt>
                      <c:pt idx="131">
                        <c:v>0.65500000000000003</c:v>
                      </c:pt>
                      <c:pt idx="132">
                        <c:v>0.66</c:v>
                      </c:pt>
                      <c:pt idx="133">
                        <c:v>0.66500000000000004</c:v>
                      </c:pt>
                      <c:pt idx="134">
                        <c:v>0.67</c:v>
                      </c:pt>
                      <c:pt idx="135">
                        <c:v>0.67500000000000004</c:v>
                      </c:pt>
                      <c:pt idx="136">
                        <c:v>0.68</c:v>
                      </c:pt>
                      <c:pt idx="137">
                        <c:v>0.68500000000000005</c:v>
                      </c:pt>
                      <c:pt idx="138">
                        <c:v>0.69</c:v>
                      </c:pt>
                      <c:pt idx="139">
                        <c:v>0.69499999999999995</c:v>
                      </c:pt>
                      <c:pt idx="140">
                        <c:v>0.7</c:v>
                      </c:pt>
                      <c:pt idx="141">
                        <c:v>0.70499999999999996</c:v>
                      </c:pt>
                      <c:pt idx="142">
                        <c:v>0.71</c:v>
                      </c:pt>
                      <c:pt idx="143">
                        <c:v>0.71499999999999997</c:v>
                      </c:pt>
                      <c:pt idx="144">
                        <c:v>0.72</c:v>
                      </c:pt>
                      <c:pt idx="145">
                        <c:v>0.72499999999999998</c:v>
                      </c:pt>
                      <c:pt idx="146">
                        <c:v>0.73</c:v>
                      </c:pt>
                      <c:pt idx="147">
                        <c:v>0.73499999999999999</c:v>
                      </c:pt>
                      <c:pt idx="148">
                        <c:v>0.74</c:v>
                      </c:pt>
                      <c:pt idx="149">
                        <c:v>0.745</c:v>
                      </c:pt>
                      <c:pt idx="150">
                        <c:v>0.75</c:v>
                      </c:pt>
                      <c:pt idx="151">
                        <c:v>0.755</c:v>
                      </c:pt>
                      <c:pt idx="152">
                        <c:v>0.76</c:v>
                      </c:pt>
                      <c:pt idx="153">
                        <c:v>0.76500000000000001</c:v>
                      </c:pt>
                      <c:pt idx="154">
                        <c:v>0.77</c:v>
                      </c:pt>
                      <c:pt idx="155">
                        <c:v>0.77500000000000002</c:v>
                      </c:pt>
                      <c:pt idx="156">
                        <c:v>0.78</c:v>
                      </c:pt>
                      <c:pt idx="157">
                        <c:v>0.78500000000000003</c:v>
                      </c:pt>
                      <c:pt idx="158">
                        <c:v>0.79</c:v>
                      </c:pt>
                      <c:pt idx="159">
                        <c:v>0.79500000000000004</c:v>
                      </c:pt>
                      <c:pt idx="160">
                        <c:v>0.8</c:v>
                      </c:pt>
                      <c:pt idx="161">
                        <c:v>0.80500000000000005</c:v>
                      </c:pt>
                      <c:pt idx="162">
                        <c:v>0.81</c:v>
                      </c:pt>
                      <c:pt idx="163">
                        <c:v>0.81499999999999995</c:v>
                      </c:pt>
                      <c:pt idx="164">
                        <c:v>0.82</c:v>
                      </c:pt>
                      <c:pt idx="165">
                        <c:v>0.82499999999999996</c:v>
                      </c:pt>
                      <c:pt idx="166">
                        <c:v>0.83</c:v>
                      </c:pt>
                      <c:pt idx="167">
                        <c:v>0.83499999999999996</c:v>
                      </c:pt>
                      <c:pt idx="168">
                        <c:v>0.84000000000000097</c:v>
                      </c:pt>
                      <c:pt idx="169">
                        <c:v>0.84500000000000097</c:v>
                      </c:pt>
                      <c:pt idx="170">
                        <c:v>0.85000000000000098</c:v>
                      </c:pt>
                      <c:pt idx="171">
                        <c:v>0.85500000000000098</c:v>
                      </c:pt>
                      <c:pt idx="172">
                        <c:v>0.86000000000000099</c:v>
                      </c:pt>
                      <c:pt idx="173">
                        <c:v>0.86500000000000099</c:v>
                      </c:pt>
                      <c:pt idx="174">
                        <c:v>0.87000000000000099</c:v>
                      </c:pt>
                      <c:pt idx="175">
                        <c:v>0.875000000000001</c:v>
                      </c:pt>
                      <c:pt idx="176">
                        <c:v>0.880000000000001</c:v>
                      </c:pt>
                      <c:pt idx="177">
                        <c:v>0.88500000000000101</c:v>
                      </c:pt>
                      <c:pt idx="178">
                        <c:v>0.89000000000000101</c:v>
                      </c:pt>
                      <c:pt idx="179">
                        <c:v>0.89500000000000102</c:v>
                      </c:pt>
                      <c:pt idx="180">
                        <c:v>0.90000000000000102</c:v>
                      </c:pt>
                      <c:pt idx="181">
                        <c:v>0.90500000000000103</c:v>
                      </c:pt>
                      <c:pt idx="182">
                        <c:v>0.91000000000000103</c:v>
                      </c:pt>
                      <c:pt idx="183">
                        <c:v>0.91500000000000103</c:v>
                      </c:pt>
                      <c:pt idx="184">
                        <c:v>0.92000000000000104</c:v>
                      </c:pt>
                      <c:pt idx="185">
                        <c:v>0.92500000000000104</c:v>
                      </c:pt>
                      <c:pt idx="186">
                        <c:v>0.93000000000000105</c:v>
                      </c:pt>
                      <c:pt idx="187">
                        <c:v>0.93500000000000105</c:v>
                      </c:pt>
                      <c:pt idx="188">
                        <c:v>0.94000000000000095</c:v>
                      </c:pt>
                      <c:pt idx="189">
                        <c:v>0.94500000000000095</c:v>
                      </c:pt>
                      <c:pt idx="190">
                        <c:v>0.95000000000000095</c:v>
                      </c:pt>
                      <c:pt idx="191">
                        <c:v>0.95500000000000096</c:v>
                      </c:pt>
                      <c:pt idx="192">
                        <c:v>0.96000000000000096</c:v>
                      </c:pt>
                      <c:pt idx="193">
                        <c:v>0.96500000000000097</c:v>
                      </c:pt>
                      <c:pt idx="194">
                        <c:v>0.97000000000000097</c:v>
                      </c:pt>
                      <c:pt idx="195">
                        <c:v>0.97500000000000098</c:v>
                      </c:pt>
                      <c:pt idx="196">
                        <c:v>0.98000000000000098</c:v>
                      </c:pt>
                      <c:pt idx="197">
                        <c:v>0.98500000000000099</c:v>
                      </c:pt>
                      <c:pt idx="198">
                        <c:v>0.99000000000000099</c:v>
                      </c:pt>
                      <c:pt idx="199">
                        <c:v>0.99500000000000099</c:v>
                      </c:pt>
                      <c:pt idx="200">
                        <c:v>1</c:v>
                      </c:pt>
                      <c:pt idx="201">
                        <c:v>1.0049999999999999</c:v>
                      </c:pt>
                      <c:pt idx="202">
                        <c:v>1.01</c:v>
                      </c:pt>
                      <c:pt idx="203">
                        <c:v>1.0149999999999999</c:v>
                      </c:pt>
                      <c:pt idx="204">
                        <c:v>1.02</c:v>
                      </c:pt>
                      <c:pt idx="205">
                        <c:v>1.0249999999999999</c:v>
                      </c:pt>
                      <c:pt idx="206">
                        <c:v>1.03</c:v>
                      </c:pt>
                      <c:pt idx="207">
                        <c:v>1.0349999999999999</c:v>
                      </c:pt>
                      <c:pt idx="208">
                        <c:v>1.04</c:v>
                      </c:pt>
                      <c:pt idx="209">
                        <c:v>1.0449999999999999</c:v>
                      </c:pt>
                      <c:pt idx="210">
                        <c:v>1.05</c:v>
                      </c:pt>
                      <c:pt idx="211">
                        <c:v>1.0549999999999999</c:v>
                      </c:pt>
                      <c:pt idx="212">
                        <c:v>1.06</c:v>
                      </c:pt>
                      <c:pt idx="213">
                        <c:v>1.0649999999999999</c:v>
                      </c:pt>
                      <c:pt idx="214">
                        <c:v>1.07</c:v>
                      </c:pt>
                      <c:pt idx="215">
                        <c:v>1.075</c:v>
                      </c:pt>
                      <c:pt idx="216">
                        <c:v>1.08</c:v>
                      </c:pt>
                      <c:pt idx="217">
                        <c:v>1.085</c:v>
                      </c:pt>
                      <c:pt idx="218">
                        <c:v>1.0900000000000001</c:v>
                      </c:pt>
                      <c:pt idx="219">
                        <c:v>1.095</c:v>
                      </c:pt>
                      <c:pt idx="220">
                        <c:v>1.1000000000000001</c:v>
                      </c:pt>
                      <c:pt idx="221">
                        <c:v>1.105</c:v>
                      </c:pt>
                      <c:pt idx="222">
                        <c:v>1.1100000000000001</c:v>
                      </c:pt>
                      <c:pt idx="223">
                        <c:v>1.115</c:v>
                      </c:pt>
                      <c:pt idx="224">
                        <c:v>1.1200000000000001</c:v>
                      </c:pt>
                      <c:pt idx="225">
                        <c:v>1.125</c:v>
                      </c:pt>
                      <c:pt idx="226">
                        <c:v>1.1299999999999999</c:v>
                      </c:pt>
                      <c:pt idx="227">
                        <c:v>1.135</c:v>
                      </c:pt>
                      <c:pt idx="228">
                        <c:v>1.1399999999999999</c:v>
                      </c:pt>
                      <c:pt idx="229">
                        <c:v>1.145</c:v>
                      </c:pt>
                      <c:pt idx="230">
                        <c:v>1.1499999999999999</c:v>
                      </c:pt>
                      <c:pt idx="231">
                        <c:v>1.155</c:v>
                      </c:pt>
                      <c:pt idx="232">
                        <c:v>1.1599999999999999</c:v>
                      </c:pt>
                      <c:pt idx="233">
                        <c:v>1.165</c:v>
                      </c:pt>
                      <c:pt idx="234">
                        <c:v>1.17</c:v>
                      </c:pt>
                      <c:pt idx="235">
                        <c:v>1.175</c:v>
                      </c:pt>
                      <c:pt idx="236">
                        <c:v>1.18</c:v>
                      </c:pt>
                      <c:pt idx="237">
                        <c:v>1.1850000000000001</c:v>
                      </c:pt>
                      <c:pt idx="238">
                        <c:v>1.19</c:v>
                      </c:pt>
                      <c:pt idx="239">
                        <c:v>1.1950000000000001</c:v>
                      </c:pt>
                      <c:pt idx="240">
                        <c:v>1.2</c:v>
                      </c:pt>
                      <c:pt idx="241">
                        <c:v>1.2050000000000001</c:v>
                      </c:pt>
                      <c:pt idx="242">
                        <c:v>1.21</c:v>
                      </c:pt>
                      <c:pt idx="243">
                        <c:v>1.2150000000000001</c:v>
                      </c:pt>
                      <c:pt idx="244">
                        <c:v>1.22</c:v>
                      </c:pt>
                      <c:pt idx="245">
                        <c:v>1.2250000000000001</c:v>
                      </c:pt>
                      <c:pt idx="246">
                        <c:v>1.23</c:v>
                      </c:pt>
                      <c:pt idx="247">
                        <c:v>1.2350000000000001</c:v>
                      </c:pt>
                      <c:pt idx="248">
                        <c:v>1.24</c:v>
                      </c:pt>
                      <c:pt idx="249">
                        <c:v>1.2450000000000001</c:v>
                      </c:pt>
                      <c:pt idx="250">
                        <c:v>1.25</c:v>
                      </c:pt>
                      <c:pt idx="251">
                        <c:v>1.2549999999999999</c:v>
                      </c:pt>
                      <c:pt idx="252">
                        <c:v>1.26</c:v>
                      </c:pt>
                      <c:pt idx="253">
                        <c:v>1.2649999999999999</c:v>
                      </c:pt>
                      <c:pt idx="254">
                        <c:v>1.27</c:v>
                      </c:pt>
                      <c:pt idx="255">
                        <c:v>1.2749999999999999</c:v>
                      </c:pt>
                      <c:pt idx="256">
                        <c:v>1.28</c:v>
                      </c:pt>
                      <c:pt idx="257">
                        <c:v>1.2849999999999999</c:v>
                      </c:pt>
                      <c:pt idx="258">
                        <c:v>1.29</c:v>
                      </c:pt>
                      <c:pt idx="259">
                        <c:v>1.2949999999999999</c:v>
                      </c:pt>
                      <c:pt idx="260">
                        <c:v>1.3</c:v>
                      </c:pt>
                      <c:pt idx="261">
                        <c:v>1.3049999999999999</c:v>
                      </c:pt>
                      <c:pt idx="262">
                        <c:v>1.31</c:v>
                      </c:pt>
                      <c:pt idx="263">
                        <c:v>1.3149999999999999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'Second Order V3'!$L$7:$L$270</c15:sqref>
                        </c15:formulaRef>
                      </c:ext>
                    </c:extLst>
                    <c:numCache>
                      <c:formatCode>General</c:formatCode>
                      <c:ptCount val="264"/>
                      <c:pt idx="0">
                        <c:v>0.62762480938978238</c:v>
                      </c:pt>
                      <c:pt idx="1">
                        <c:v>0.60100114529762461</c:v>
                      </c:pt>
                      <c:pt idx="2">
                        <c:v>0.57492219961281832</c:v>
                      </c:pt>
                      <c:pt idx="3">
                        <c:v>0.54939583083871169</c:v>
                      </c:pt>
                      <c:pt idx="4">
                        <c:v>0.52442878480227084</c:v>
                      </c:pt>
                      <c:pt idx="5">
                        <c:v>0.50002674001531888</c:v>
                      </c:pt>
                      <c:pt idx="6">
                        <c:v>0.47619435223236056</c:v>
                      </c:pt>
                      <c:pt idx="7">
                        <c:v>0.45293529818535544</c:v>
                      </c:pt>
                      <c:pt idx="8">
                        <c:v>0.43025231847785045</c:v>
                      </c:pt>
                      <c:pt idx="9">
                        <c:v>0.40814725962284942</c:v>
                      </c:pt>
                      <c:pt idx="10">
                        <c:v>0.38662111521068904</c:v>
                      </c:pt>
                      <c:pt idx="11">
                        <c:v>0.3656740661950092</c:v>
                      </c:pt>
                      <c:pt idx="12">
                        <c:v>0.3453055202866494</c:v>
                      </c:pt>
                      <c:pt idx="13">
                        <c:v>0.32551415044697957</c:v>
                      </c:pt>
                      <c:pt idx="14">
                        <c:v>0.30629793247377135</c:v>
                      </c:pt>
                      <c:pt idx="15">
                        <c:v>0.28765418167425616</c:v>
                      </c:pt>
                      <c:pt idx="16">
                        <c:v>0.26957958862147774</c:v>
                      </c:pt>
                      <c:pt idx="17">
                        <c:v>0.25207025399144761</c:v>
                      </c:pt>
                      <c:pt idx="18">
                        <c:v>0.23512172247994972</c:v>
                      </c:pt>
                      <c:pt idx="19">
                        <c:v>0.21872901579910664</c:v>
                      </c:pt>
                      <c:pt idx="20">
                        <c:v>0.2028866647550347</c:v>
                      </c:pt>
                      <c:pt idx="21">
                        <c:v>0.18758874040905826</c:v>
                      </c:pt>
                      <c:pt idx="22">
                        <c:v>0.17282888432604604</c:v>
                      </c:pt>
                      <c:pt idx="23">
                        <c:v>0.15860033791446304</c:v>
                      </c:pt>
                      <c:pt idx="24">
                        <c:v>0.14489597086370576</c:v>
                      </c:pt>
                      <c:pt idx="25">
                        <c:v>0.13170830868520844</c:v>
                      </c:pt>
                      <c:pt idx="26">
                        <c:v>0.11902955936467575</c:v>
                      </c:pt>
                      <c:pt idx="27">
                        <c:v>0.10685163913361158</c:v>
                      </c:pt>
                      <c:pt idx="28">
                        <c:v>9.516619736907618E-2</c:v>
                      </c:pt>
                      <c:pt idx="29">
                        <c:v>8.3964640631321516E-2</c:v>
                      </c:pt>
                      <c:pt idx="30">
                        <c:v>7.3238155849620221E-2</c:v>
                      </c:pt>
                      <c:pt idx="31">
                        <c:v>6.2977732667225964E-2</c:v>
                      </c:pt>
                      <c:pt idx="32">
                        <c:v>5.3174184956978329E-2</c:v>
                      </c:pt>
                      <c:pt idx="33">
                        <c:v>4.381817151959988E-2</c:v>
                      </c:pt>
                      <c:pt idx="34">
                        <c:v>3.4900215977223856E-2</c:v>
                      </c:pt>
                      <c:pt idx="35">
                        <c:v>2.6410725875141414E-2</c:v>
                      </c:pt>
                      <c:pt idx="36">
                        <c:v>1.8340011005169354E-2</c:v>
                      </c:pt>
                      <c:pt idx="37">
                        <c:v>1.0678300964413391E-2</c:v>
                      </c:pt>
                      <c:pt idx="38">
                        <c:v>3.415761963538988E-3</c:v>
                      </c:pt>
                      <c:pt idx="39">
                        <c:v>-3.4574871010357167E-3</c:v>
                      </c:pt>
                      <c:pt idx="40">
                        <c:v>-9.9513592963408476E-3</c:v>
                      </c:pt>
                      <c:pt idx="41">
                        <c:v>-1.6075785008530928E-2</c:v>
                      </c:pt>
                      <c:pt idx="42">
                        <c:v>-2.1840697989911569E-2</c:v>
                      </c:pt>
                      <c:pt idx="43">
                        <c:v>-2.7256022082017169E-2</c:v>
                      </c:pt>
                      <c:pt idx="44">
                        <c:v>-3.2331658599294266E-2</c:v>
                      </c:pt>
                      <c:pt idx="45">
                        <c:v>-3.7077474357826032E-2</c:v>
                      </c:pt>
                      <c:pt idx="46">
                        <c:v>-4.1503290333441384E-2</c:v>
                      </c:pt>
                      <c:pt idx="47">
                        <c:v>-4.5618870933484629E-2</c:v>
                      </c:pt>
                      <c:pt idx="48">
                        <c:v>-4.9433913866478801E-2</c:v>
                      </c:pt>
                      <c:pt idx="49">
                        <c:v>-5.2958040593894695E-2</c:v>
                      </c:pt>
                      <c:pt idx="50">
                        <c:v>-5.6200787348240938E-2</c:v>
                      </c:pt>
                      <c:pt idx="51">
                        <c:v>-5.9171596701710197E-2</c:v>
                      </c:pt>
                      <c:pt idx="52">
                        <c:v>-6.1879809669661334E-2</c:v>
                      </c:pt>
                      <c:pt idx="53">
                        <c:v>-6.4334658333276326E-2</c:v>
                      </c:pt>
                      <c:pt idx="54">
                        <c:v>-6.6545258965809678E-2</c:v>
                      </c:pt>
                      <c:pt idx="55">
                        <c:v>-6.8520605646943039E-2</c:v>
                      </c:pt>
                      <c:pt idx="56">
                        <c:v>-7.0269564349870167E-2</c:v>
                      </c:pt>
                      <c:pt idx="57">
                        <c:v>-7.1800867485860703E-2</c:v>
                      </c:pt>
                      <c:pt idx="58">
                        <c:v>-7.3123108891193236E-2</c:v>
                      </c:pt>
                      <c:pt idx="59">
                        <c:v>-7.4244739241500629E-2</c:v>
                      </c:pt>
                      <c:pt idx="60">
                        <c:v>-7.5174061878734766E-2</c:v>
                      </c:pt>
                      <c:pt idx="61">
                        <c:v>-7.5919229036136529E-2</c:v>
                      </c:pt>
                      <c:pt idx="62">
                        <c:v>-7.6488238446782528E-2</c:v>
                      </c:pt>
                      <c:pt idx="63">
                        <c:v>-7.6888930321478283E-2</c:v>
                      </c:pt>
                      <c:pt idx="64">
                        <c:v>-7.7128984681973711E-2</c:v>
                      </c:pt>
                      <c:pt idx="65">
                        <c:v>-7.7215919035692415E-2</c:v>
                      </c:pt>
                      <c:pt idx="66">
                        <c:v>-7.7157086378387432E-2</c:v>
                      </c:pt>
                      <c:pt idx="67">
                        <c:v>-7.6959673511367857E-2</c:v>
                      </c:pt>
                      <c:pt idx="68">
                        <c:v>-7.6630699660174773E-2</c:v>
                      </c:pt>
                      <c:pt idx="69">
                        <c:v>-7.6177015381829041E-2</c:v>
                      </c:pt>
                      <c:pt idx="70">
                        <c:v>-7.5605301748018744E-2</c:v>
                      </c:pt>
                      <c:pt idx="71">
                        <c:v>-7.4922069791847179E-2</c:v>
                      </c:pt>
                      <c:pt idx="72">
                        <c:v>-7.4133660206017749E-2</c:v>
                      </c:pt>
                      <c:pt idx="73">
                        <c:v>-7.3246243280591108E-2</c:v>
                      </c:pt>
                      <c:pt idx="74">
                        <c:v>-7.2265819068713197E-2</c:v>
                      </c:pt>
                      <c:pt idx="75">
                        <c:v>-7.1198217768976224E-2</c:v>
                      </c:pt>
                      <c:pt idx="76">
                        <c:v>-7.0049100313343562E-2</c:v>
                      </c:pt>
                      <c:pt idx="77">
                        <c:v>-6.8823959149836592E-2</c:v>
                      </c:pt>
                      <c:pt idx="78">
                        <c:v>-6.7528119209451301E-2</c:v>
                      </c:pt>
                      <c:pt idx="79">
                        <c:v>-6.6166739047044038E-2</c:v>
                      </c:pt>
                      <c:pt idx="80">
                        <c:v>-6.4744812146194972E-2</c:v>
                      </c:pt>
                      <c:pt idx="81">
                        <c:v>-6.3267168378330685E-2</c:v>
                      </c:pt>
                      <c:pt idx="82">
                        <c:v>-6.173847560665538E-2</c:v>
                      </c:pt>
                      <c:pt idx="83">
                        <c:v>-6.0163241425711542E-2</c:v>
                      </c:pt>
                      <c:pt idx="84">
                        <c:v>-5.854581502765932E-2</c:v>
                      </c:pt>
                      <c:pt idx="85">
                        <c:v>-5.6890389186630794E-2</c:v>
                      </c:pt>
                      <c:pt idx="86">
                        <c:v>-5.5201002352780554E-2</c:v>
                      </c:pt>
                      <c:pt idx="87">
                        <c:v>-5.3481540847919715E-2</c:v>
                      </c:pt>
                      <c:pt idx="88">
                        <c:v>-5.1735741154879417E-2</c:v>
                      </c:pt>
                      <c:pt idx="89">
                        <c:v>-4.9967192293011803E-2</c:v>
                      </c:pt>
                      <c:pt idx="90">
                        <c:v>-4.8179338272490699E-2</c:v>
                      </c:pt>
                      <c:pt idx="91">
                        <c:v>-4.6375480620329992E-2</c:v>
                      </c:pt>
                      <c:pt idx="92">
                        <c:v>-4.4558780971287057E-2</c:v>
                      </c:pt>
                      <c:pt idx="93">
                        <c:v>-4.2732263717067398E-2</c:v>
                      </c:pt>
                      <c:pt idx="94">
                        <c:v>-4.0898818707488932E-2</c:v>
                      </c:pt>
                      <c:pt idx="95">
                        <c:v>-3.9061203997507371E-2</c:v>
                      </c:pt>
                      <c:pt idx="96">
                        <c:v>-3.7222048634239696E-2</c:v>
                      </c:pt>
                      <c:pt idx="97">
                        <c:v>-3.5383855478355222E-2</c:v>
                      </c:pt>
                      <c:pt idx="98">
                        <c:v>-3.3549004054434881E-2</c:v>
                      </c:pt>
                      <c:pt idx="99">
                        <c:v>-3.1719753425122975E-2</c:v>
                      </c:pt>
                      <c:pt idx="100">
                        <c:v>-2.989824508411678E-2</c:v>
                      </c:pt>
                      <c:pt idx="101">
                        <c:v>-2.8086505863257061E-2</c:v>
                      </c:pt>
                      <c:pt idx="102">
                        <c:v>-2.6286450849193926E-2</c:v>
                      </c:pt>
                      <c:pt idx="103">
                        <c:v>-2.4499886305311094E-2</c:v>
                      </c:pt>
                      <c:pt idx="104">
                        <c:v>-2.272851259479524E-2</c:v>
                      </c:pt>
                      <c:pt idx="105">
                        <c:v>-2.0973927100935846E-2</c:v>
                      </c:pt>
                      <c:pt idx="106">
                        <c:v>-1.9237627140935951E-2</c:v>
                      </c:pt>
                      <c:pt idx="107">
                        <c:v>-1.7521012869703929E-2</c:v>
                      </c:pt>
                      <c:pt idx="108">
                        <c:v>-1.5825390170281797E-2</c:v>
                      </c:pt>
                      <c:pt idx="109">
                        <c:v>-1.4151973527746546E-2</c:v>
                      </c:pt>
                      <c:pt idx="110">
                        <c:v>-1.2501888883596601E-2</c:v>
                      </c:pt>
                      <c:pt idx="111">
                        <c:v>-1.0876176467807822E-2</c:v>
                      </c:pt>
                      <c:pt idx="112">
                        <c:v>-9.2757936059091189E-3</c:v>
                      </c:pt>
                      <c:pt idx="113">
                        <c:v>-7.70161749859119E-3</c:v>
                      </c:pt>
                      <c:pt idx="114">
                        <c:v>-6.1544479715182066E-3</c:v>
                      </c:pt>
                      <c:pt idx="115">
                        <c:v>-4.6350101931666582E-3</c:v>
                      </c:pt>
                      <c:pt idx="116">
                        <c:v>-3.1439573586622138E-3</c:v>
                      </c:pt>
                      <c:pt idx="117">
                        <c:v>-1.6818733377307674E-3</c:v>
                      </c:pt>
                      <c:pt idx="118">
                        <c:v>-2.4927528501828E-4</c:v>
                      </c:pt>
                      <c:pt idx="119">
                        <c:v>1.1533837888309112E-3</c:v>
                      </c:pt>
                      <c:pt idx="120">
                        <c:v>2.525712486817433E-3</c:v>
                      </c:pt>
                      <c:pt idx="121">
                        <c:v>3.8673785373057601E-3</c:v>
                      </c:pt>
                      <c:pt idx="122">
                        <c:v>5.1781063490516158E-3</c:v>
                      </c:pt>
                      <c:pt idx="123">
                        <c:v>6.457674610652539E-3</c:v>
                      </c:pt>
                      <c:pt idx="124">
                        <c:v>7.7059139354242884E-3</c:v>
                      </c:pt>
                      <c:pt idx="125">
                        <c:v>8.9227045525963333E-3</c:v>
                      </c:pt>
                      <c:pt idx="126">
                        <c:v>1.010797404561499E-2</c:v>
                      </c:pt>
                      <c:pt idx="127">
                        <c:v>1.1261695138242336E-2</c:v>
                      </c:pt>
                      <c:pt idx="128">
                        <c:v>1.2383883529042142E-2</c:v>
                      </c:pt>
                      <c:pt idx="129">
                        <c:v>1.3474595774751769E-2</c:v>
                      </c:pt>
                      <c:pt idx="130">
                        <c:v>1.4533927222949369E-2</c:v>
                      </c:pt>
                      <c:pt idx="131">
                        <c:v>1.5562009994341666E-2</c:v>
                      </c:pt>
                      <c:pt idx="132">
                        <c:v>1.6559011014915179E-2</c:v>
                      </c:pt>
                      <c:pt idx="133">
                        <c:v>1.7525130098117098E-2</c:v>
                      </c:pt>
                      <c:pt idx="134">
                        <c:v>1.8460598077157164E-2</c:v>
                      </c:pt>
                      <c:pt idx="135">
                        <c:v>1.9365674987451467E-2</c:v>
                      </c:pt>
                      <c:pt idx="136">
                        <c:v>2.0240648299162015E-2</c:v>
                      </c:pt>
                      <c:pt idx="137">
                        <c:v>2.1085831199722072E-2</c:v>
                      </c:pt>
                      <c:pt idx="138">
                        <c:v>2.1901560926176206E-2</c:v>
                      </c:pt>
                      <c:pt idx="139">
                        <c:v>2.2688197147107361E-2</c:v>
                      </c:pt>
                      <c:pt idx="140">
                        <c:v>2.3446120393867897E-2</c:v>
                      </c:pt>
                      <c:pt idx="141">
                        <c:v>2.4175730540781384E-2</c:v>
                      </c:pt>
                      <c:pt idx="142">
                        <c:v>2.4877445333932505E-2</c:v>
                      </c:pt>
                      <c:pt idx="143">
                        <c:v>2.5551698968117834E-2</c:v>
                      </c:pt>
                      <c:pt idx="144">
                        <c:v>2.6198940711486748E-2</c:v>
                      </c:pt>
                      <c:pt idx="145">
                        <c:v>2.6819633577362334E-2</c:v>
                      </c:pt>
                      <c:pt idx="146">
                        <c:v>2.7414253042694486E-2</c:v>
                      </c:pt>
                      <c:pt idx="147">
                        <c:v>2.7983285812562472E-2</c:v>
                      </c:pt>
                      <c:pt idx="148">
                        <c:v>2.8527228630112075E-2</c:v>
                      </c:pt>
                      <c:pt idx="149">
                        <c:v>2.9046587131282414E-2</c:v>
                      </c:pt>
                      <c:pt idx="150">
                        <c:v>2.9541874743649624E-2</c:v>
                      </c:pt>
                      <c:pt idx="151">
                        <c:v>3.0013611628689485E-2</c:v>
                      </c:pt>
                      <c:pt idx="152">
                        <c:v>3.0462323666737692E-2</c:v>
                      </c:pt>
                      <c:pt idx="153">
                        <c:v>3.0888541483905088E-2</c:v>
                      </c:pt>
                      <c:pt idx="154">
                        <c:v>3.1292799520186321E-2</c:v>
                      </c:pt>
                      <c:pt idx="155">
                        <c:v>3.1675635137982994E-2</c:v>
                      </c:pt>
                      <c:pt idx="156">
                        <c:v>3.2037587770246984E-2</c:v>
                      </c:pt>
                      <c:pt idx="157">
                        <c:v>3.2379198107436238E-2</c:v>
                      </c:pt>
                      <c:pt idx="158">
                        <c:v>3.2701007322463033E-2</c:v>
                      </c:pt>
                      <c:pt idx="159">
                        <c:v>3.3003556332805384E-2</c:v>
                      </c:pt>
                      <c:pt idx="160">
                        <c:v>3.3287385098942676E-2</c:v>
                      </c:pt>
                      <c:pt idx="161">
                        <c:v>3.3553031958270405E-2</c:v>
                      </c:pt>
                      <c:pt idx="162">
                        <c:v>3.3801032993642635E-2</c:v>
                      </c:pt>
                      <c:pt idx="163">
                        <c:v>3.4031921435687146E-2</c:v>
                      </c:pt>
                      <c:pt idx="164">
                        <c:v>3.4246227098035029E-2</c:v>
                      </c:pt>
                      <c:pt idx="165">
                        <c:v>3.4444475844604791E-2</c:v>
                      </c:pt>
                      <c:pt idx="166">
                        <c:v>3.4627189088081309E-2</c:v>
                      </c:pt>
                      <c:pt idx="167">
                        <c:v>3.4794883318729694E-2</c:v>
                      </c:pt>
                      <c:pt idx="168">
                        <c:v>3.4948069662687056E-2</c:v>
                      </c:pt>
                      <c:pt idx="169">
                        <c:v>3.5087253468877158E-2</c:v>
                      </c:pt>
                      <c:pt idx="170">
                        <c:v>3.5212933923697926E-2</c:v>
                      </c:pt>
                      <c:pt idx="171">
                        <c:v>3.5325603692635141E-2</c:v>
                      </c:pt>
                      <c:pt idx="172">
                        <c:v>3.5425748587962699E-2</c:v>
                      </c:pt>
                      <c:pt idx="173">
                        <c:v>3.551384726169575E-2</c:v>
                      </c:pt>
                      <c:pt idx="174">
                        <c:v>3.5590370922970307E-2</c:v>
                      </c:pt>
                      <c:pt idx="175">
                        <c:v>3.565578307903125E-2</c:v>
                      </c:pt>
                      <c:pt idx="176">
                        <c:v>3.5710539299019059E-2</c:v>
                      </c:pt>
                      <c:pt idx="177">
                        <c:v>3.5755086999755256E-2</c:v>
                      </c:pt>
                      <c:pt idx="178">
                        <c:v>3.578986525273653E-2</c:v>
                      </c:pt>
                      <c:pt idx="179">
                        <c:v>3.5815304611557811E-2</c:v>
                      </c:pt>
                      <c:pt idx="180">
                        <c:v>3.5831826958995783E-2</c:v>
                      </c:pt>
                      <c:pt idx="181">
                        <c:v>3.5839845372995949E-2</c:v>
                      </c:pt>
                      <c:pt idx="182">
                        <c:v>3.5839764010818079E-2</c:v>
                      </c:pt>
                      <c:pt idx="183">
                        <c:v>3.5831978010607543E-2</c:v>
                      </c:pt>
                      <c:pt idx="184">
                        <c:v>3.5816873409672295E-2</c:v>
                      </c:pt>
                      <c:pt idx="185">
                        <c:v>3.5794827078758959E-2</c:v>
                      </c:pt>
                      <c:pt idx="186">
                        <c:v>3.5766206671634382E-2</c:v>
                      </c:pt>
                      <c:pt idx="187">
                        <c:v>3.5731370589292627E-2</c:v>
                      </c:pt>
                      <c:pt idx="188">
                        <c:v>3.5690667958121453E-2</c:v>
                      </c:pt>
                      <c:pt idx="189">
                        <c:v>3.5644438621376409E-2</c:v>
                      </c:pt>
                      <c:pt idx="190">
                        <c:v>3.5593013143324553E-2</c:v>
                      </c:pt>
                      <c:pt idx="191">
                        <c:v>3.5536712825434594E-2</c:v>
                      </c:pt>
                      <c:pt idx="192">
                        <c:v>3.5475849734004458E-2</c:v>
                      </c:pt>
                      <c:pt idx="193">
                        <c:v>3.5410726738632103E-2</c:v>
                      </c:pt>
                      <c:pt idx="194">
                        <c:v>3.5341637560949893E-2</c:v>
                      </c:pt>
                      <c:pt idx="195">
                        <c:v>3.5268866833057674E-2</c:v>
                      </c:pt>
                      <c:pt idx="196">
                        <c:v>3.5192690165104415E-2</c:v>
                      </c:pt>
                      <c:pt idx="197">
                        <c:v>3.5113374221482987E-2</c:v>
                      </c:pt>
                      <c:pt idx="198">
                        <c:v>3.503117680511747E-2</c:v>
                      </c:pt>
                      <c:pt idx="199">
                        <c:v>3.4946346949336987E-2</c:v>
                      </c:pt>
                      <c:pt idx="200">
                        <c:v>3.4859125016845002E-2</c:v>
                      </c:pt>
                      <c:pt idx="201">
                        <c:v>3.4769742805306952E-2</c:v>
                      </c:pt>
                      <c:pt idx="202">
                        <c:v>3.4678423659094654E-2</c:v>
                      </c:pt>
                      <c:pt idx="203">
                        <c:v>3.4585382586739141E-2</c:v>
                      </c:pt>
                      <c:pt idx="204">
                        <c:v>3.4490826383658815E-2</c:v>
                      </c:pt>
                      <c:pt idx="205">
                        <c:v>3.4394953759743621E-2</c:v>
                      </c:pt>
                      <c:pt idx="206">
                        <c:v>3.4297955471389793E-2</c:v>
                      </c:pt>
                      <c:pt idx="207">
                        <c:v>3.4200014457594116E-2</c:v>
                      </c:pt>
                      <c:pt idx="208">
                        <c:v>3.4101305979729754E-2</c:v>
                      </c:pt>
                      <c:pt idx="209">
                        <c:v>3.4001997764639885E-2</c:v>
                      </c:pt>
                      <c:pt idx="210">
                        <c:v>3.3902250150698213E-2</c:v>
                      </c:pt>
                      <c:pt idx="211">
                        <c:v>3.3802216236499039E-2</c:v>
                      </c:pt>
                      <c:pt idx="212">
                        <c:v>3.3702042031852231E-2</c:v>
                      </c:pt>
                      <c:pt idx="213">
                        <c:v>3.3601866610771372E-2</c:v>
                      </c:pt>
                      <c:pt idx="214">
                        <c:v>3.3501822266156125E-2</c:v>
                      </c:pt>
                      <c:pt idx="215">
                        <c:v>3.3402034665881722E-2</c:v>
                      </c:pt>
                      <c:pt idx="216">
                        <c:v>3.3302623010021071E-2</c:v>
                      </c:pt>
                      <c:pt idx="217">
                        <c:v>3.3203700188936744E-2</c:v>
                      </c:pt>
                      <c:pt idx="218">
                        <c:v>3.3105372941991618E-2</c:v>
                      </c:pt>
                      <c:pt idx="219">
                        <c:v>3.3007742016638544E-2</c:v>
                      </c:pt>
                      <c:pt idx="220">
                        <c:v>3.2910902327660599E-2</c:v>
                      </c:pt>
                      <c:pt idx="221">
                        <c:v>3.2814943116344295E-2</c:v>
                      </c:pt>
                      <c:pt idx="222">
                        <c:v>3.2719948109379032E-2</c:v>
                      </c:pt>
                      <c:pt idx="223">
                        <c:v>3.2625995677286176E-2</c:v>
                      </c:pt>
                      <c:pt idx="224">
                        <c:v>3.2533158992191877E-2</c:v>
                      </c:pt>
                      <c:pt idx="225">
                        <c:v>3.2441506184767044E-2</c:v>
                      </c:pt>
                      <c:pt idx="226">
                        <c:v>3.2351100500168206E-2</c:v>
                      </c:pt>
                      <c:pt idx="227">
                        <c:v>3.2262000452821932E-2</c:v>
                      </c:pt>
                      <c:pt idx="228">
                        <c:v>3.2174259979905084E-2</c:v>
                      </c:pt>
                      <c:pt idx="229">
                        <c:v>3.2087928593381748E-2</c:v>
                      </c:pt>
                      <c:pt idx="230">
                        <c:v>3.2003051530466578E-2</c:v>
                      </c:pt>
                      <c:pt idx="231">
                        <c:v>3.1919669902392825E-2</c:v>
                      </c:pt>
                      <c:pt idx="232">
                        <c:v>3.1837820841371073E-2</c:v>
                      </c:pt>
                      <c:pt idx="233">
                        <c:v>3.1757537645633271E-2</c:v>
                      </c:pt>
                      <c:pt idx="234">
                        <c:v>3.1678849922463753E-2</c:v>
                      </c:pt>
                      <c:pt idx="235">
                        <c:v>3.1601783729126573E-2</c:v>
                      </c:pt>
                      <c:pt idx="236">
                        <c:v>3.1526361711606027E-2</c:v>
                      </c:pt>
                      <c:pt idx="237">
                        <c:v>3.1452603241083524E-2</c:v>
                      </c:pt>
                      <c:pt idx="238">
                        <c:v>3.138052454808124E-2</c:v>
                      </c:pt>
                      <c:pt idx="239">
                        <c:v>3.1310138854209316E-2</c:v>
                      </c:pt>
                      <c:pt idx="240">
                        <c:v>3.1241456501459389E-2</c:v>
                      </c:pt>
                      <c:pt idx="241">
                        <c:v>3.1174485078993633E-2</c:v>
                      </c:pt>
                      <c:pt idx="242">
                        <c:v>3.110922954738396E-2</c:v>
                      </c:pt>
                      <c:pt idx="243">
                        <c:v>3.1045692360261876E-2</c:v>
                      </c:pt>
                      <c:pt idx="244">
                        <c:v>3.0983873583344521E-2</c:v>
                      </c:pt>
                      <c:pt idx="245">
                        <c:v>3.0923771010807871E-2</c:v>
                      </c:pt>
                      <c:pt idx="246">
                        <c:v>3.0865380278982904E-2</c:v>
                      </c:pt>
                      <c:pt idx="247">
                        <c:v>3.0808694977354972E-2</c:v>
                      </c:pt>
                      <c:pt idx="248">
                        <c:v>3.0753706756851767E-2</c:v>
                      </c:pt>
                      <c:pt idx="249">
                        <c:v>3.0700405435408737E-2</c:v>
                      </c:pt>
                      <c:pt idx="250">
                        <c:v>3.0648779100805768E-2</c:v>
                      </c:pt>
                      <c:pt idx="251">
                        <c:v>3.0598814210772166E-2</c:v>
                      </c:pt>
                      <c:pt idx="252">
                        <c:v>3.0550495690361348E-2</c:v>
                      </c:pt>
                      <c:pt idx="253">
                        <c:v>3.0503807026599425E-2</c:v>
                      </c:pt>
                      <c:pt idx="254">
                        <c:v>3.0458730360416172E-2</c:v>
                      </c:pt>
                      <c:pt idx="255">
                        <c:v>3.0415246575869234E-2</c:v>
                      </c:pt>
                      <c:pt idx="256">
                        <c:v>3.0373335386675915E-2</c:v>
                      </c:pt>
                      <c:pt idx="257">
                        <c:v>3.0332975420069658E-2</c:v>
                      </c:pt>
                      <c:pt idx="258">
                        <c:v>3.0294144298000966E-2</c:v>
                      </c:pt>
                      <c:pt idx="259">
                        <c:v>3.0256818715705139E-2</c:v>
                      </c:pt>
                      <c:pt idx="260">
                        <c:v>3.0220974517661398E-2</c:v>
                      </c:pt>
                      <c:pt idx="261">
                        <c:v>3.0186586770970608E-2</c:v>
                      </c:pt>
                      <c:pt idx="262">
                        <c:v>3.0153629836180321E-2</c:v>
                      </c:pt>
                      <c:pt idx="263">
                        <c:v>3.0122077435588437E-2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9B2-4E51-AC4E-35720FBB54C3}"/>
                  </c:ext>
                </c:extLst>
              </c15:ser>
            </c15:filteredScatterSeries>
          </c:ext>
        </c:extLst>
      </c:scatterChart>
      <c:valAx>
        <c:axId val="122056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569696"/>
        <c:crosses val="autoZero"/>
        <c:crossBetween val="midCat"/>
      </c:valAx>
      <c:valAx>
        <c:axId val="12205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56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137550161601702"/>
          <c:y val="7.8499148002539321E-2"/>
          <c:w val="0.64667611082448873"/>
          <c:h val="9.4803446337127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'Second Order V3'!$B$6</c:f>
              <c:strCache>
                <c:ptCount val="1"/>
                <c:pt idx="0">
                  <c:v>Enveloppe min avec marge et tunnel et +10ms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V3'!$B$7:$B$100</c:f>
              <c:numCache>
                <c:formatCode>General</c:formatCode>
                <c:ptCount val="94"/>
                <c:pt idx="0">
                  <c:v>-0.61762480938978259</c:v>
                </c:pt>
                <c:pt idx="1">
                  <c:v>-0.61762480938978259</c:v>
                </c:pt>
                <c:pt idx="2">
                  <c:v>-0.56762480938978255</c:v>
                </c:pt>
                <c:pt idx="3">
                  <c:v>-0.5528694002718979</c:v>
                </c:pt>
                <c:pt idx="4">
                  <c:v>-0.5384783035031917</c:v>
                </c:pt>
                <c:pt idx="5">
                  <c:v>-0.5244425241797136</c:v>
                </c:pt>
                <c:pt idx="6">
                  <c:v>-0.51075328948248322</c:v>
                </c:pt>
                <c:pt idx="7">
                  <c:v>-0.49740204319419223</c:v>
                </c:pt>
                <c:pt idx="8">
                  <c:v>-0.48438044035129058</c:v>
                </c:pt>
                <c:pt idx="9">
                  <c:v>-0.47168034202811215</c:v>
                </c:pt>
                <c:pt idx="10">
                  <c:v>-0.45929381024978189</c:v>
                </c:pt>
                <c:pt idx="11">
                  <c:v>-0.44721310303072254</c:v>
                </c:pt>
                <c:pt idx="12">
                  <c:v>-0.43543066953566162</c:v>
                </c:pt>
                <c:pt idx="13">
                  <c:v>-0.42393914536011412</c:v>
                </c:pt>
                <c:pt idx="14">
                  <c:v>-0.41273134792738941</c:v>
                </c:pt>
                <c:pt idx="15">
                  <c:v>-0.40180027199924734</c:v>
                </c:pt>
                <c:pt idx="16">
                  <c:v>-0.39113908529739599</c:v>
                </c:pt>
                <c:pt idx="17">
                  <c:v>-0.38074112423309581</c:v>
                </c:pt>
                <c:pt idx="18">
                  <c:v>-0.37059988974219915</c:v>
                </c:pt>
                <c:pt idx="19">
                  <c:v>-0.360709043223024</c:v>
                </c:pt>
                <c:pt idx="20">
                  <c:v>-0.35106240257452159</c:v>
                </c:pt>
                <c:pt idx="21">
                  <c:v>-0.34165393833226171</c:v>
                </c:pt>
                <c:pt idx="22">
                  <c:v>-0.33247776989982153</c:v>
                </c:pt>
                <c:pt idx="23">
                  <c:v>-0.32352816187322114</c:v>
                </c:pt>
                <c:pt idx="24">
                  <c:v>-0.31479952045610943</c:v>
                </c:pt>
                <c:pt idx="25">
                  <c:v>-0.30628638996345942</c:v>
                </c:pt>
                <c:pt idx="26">
                  <c:v>-0.29798344941158716</c:v>
                </c:pt>
                <c:pt idx="27">
                  <c:v>-0.28988550919236422</c:v>
                </c:pt>
                <c:pt idx="28">
                  <c:v>-0.28198750782954313</c:v>
                </c:pt>
                <c:pt idx="29">
                  <c:v>-0.27428450881517047</c:v>
                </c:pt>
                <c:pt idx="30">
                  <c:v>-0.26677169752410829</c:v>
                </c:pt>
                <c:pt idx="31">
                  <c:v>-0.25944437820473704</c:v>
                </c:pt>
                <c:pt idx="32">
                  <c:v>-0.25229797104395751</c:v>
                </c:pt>
                <c:pt idx="33">
                  <c:v>-0.24532800930465898</c:v>
                </c:pt>
                <c:pt idx="34">
                  <c:v>-0.2385301365338629</c:v>
                </c:pt>
                <c:pt idx="35">
                  <c:v>-0.23190010383979798</c:v>
                </c:pt>
                <c:pt idx="36">
                  <c:v>-0.22543376723620456</c:v>
                </c:pt>
                <c:pt idx="37">
                  <c:v>-0.21912708505220829</c:v>
                </c:pt>
                <c:pt idx="38">
                  <c:v>-0.21297611540614425</c:v>
                </c:pt>
                <c:pt idx="39">
                  <c:v>-0.20697701374175254</c:v>
                </c:pt>
                <c:pt idx="40">
                  <c:v>-0.20112603042520566</c:v>
                </c:pt>
                <c:pt idx="41">
                  <c:v>-0.19541950840146505</c:v>
                </c:pt>
                <c:pt idx="42">
                  <c:v>-0.18985388090850291</c:v>
                </c:pt>
                <c:pt idx="43">
                  <c:v>-0.1844256692479595</c:v>
                </c:pt>
                <c:pt idx="44">
                  <c:v>-0.17913148061084372</c:v>
                </c:pt>
                <c:pt idx="45">
                  <c:v>-0.17396800595691697</c:v>
                </c:pt>
                <c:pt idx="46">
                  <c:v>-0.16893201794643511</c:v>
                </c:pt>
                <c:pt idx="47">
                  <c:v>-0.16402036892295635</c:v>
                </c:pt>
                <c:pt idx="48">
                  <c:v>-0.15922998894595317</c:v>
                </c:pt>
                <c:pt idx="49">
                  <c:v>-0.15455788387200001</c:v>
                </c:pt>
                <c:pt idx="50">
                  <c:v>-0.15000113348333555</c:v>
                </c:pt>
                <c:pt idx="51">
                  <c:v>-0.14555688966263211</c:v>
                </c:pt>
                <c:pt idx="52">
                  <c:v>-0.14122237461282944</c:v>
                </c:pt>
                <c:pt idx="53">
                  <c:v>-0.13699487912092093</c:v>
                </c:pt>
                <c:pt idx="54">
                  <c:v>-0.13287176086460742</c:v>
                </c:pt>
                <c:pt idx="55">
                  <c:v>-0.12885044276075988</c:v>
                </c:pt>
                <c:pt idx="56">
                  <c:v>-0.12492841135465843</c:v>
                </c:pt>
                <c:pt idx="57">
                  <c:v>-0.12110321524900125</c:v>
                </c:pt>
                <c:pt idx="58">
                  <c:v>-0.11737246357170161</c:v>
                </c:pt>
                <c:pt idx="59">
                  <c:v>-0.11373382448151501</c:v>
                </c:pt>
                <c:pt idx="60">
                  <c:v>-0.11018502371056219</c:v>
                </c:pt>
                <c:pt idx="61">
                  <c:v>-0.10672384314283814</c:v>
                </c:pt>
                <c:pt idx="62">
                  <c:v>-0.10334811942781699</c:v>
                </c:pt>
                <c:pt idx="63">
                  <c:v>-0.10005574262828781</c:v>
                </c:pt>
                <c:pt idx="64">
                  <c:v>-9.6844654901574845E-2</c:v>
                </c:pt>
                <c:pt idx="65">
                  <c:v>-9.3712849213319196E-2</c:v>
                </c:pt>
                <c:pt idx="66">
                  <c:v>-9.0658368083016708E-2</c:v>
                </c:pt>
                <c:pt idx="67">
                  <c:v>-8.7679302360529232E-2</c:v>
                </c:pt>
                <c:pt idx="68">
                  <c:v>-8.4773790032803303E-2</c:v>
                </c:pt>
                <c:pt idx="69">
                  <c:v>-8.1940015060051732E-2</c:v>
                </c:pt>
                <c:pt idx="70">
                  <c:v>-7.9176206240669261E-2</c:v>
                </c:pt>
                <c:pt idx="71">
                  <c:v>-7.6480636104174271E-2</c:v>
                </c:pt>
                <c:pt idx="72">
                  <c:v>-7.3851619831483112E-2</c:v>
                </c:pt>
                <c:pt idx="73">
                  <c:v>-7.1287514201843649E-2</c:v>
                </c:pt>
                <c:pt idx="74">
                  <c:v>-6.8786716565768624E-2</c:v>
                </c:pt>
                <c:pt idx="75">
                  <c:v>-6.6347663843327617E-2</c:v>
                </c:pt>
                <c:pt idx="76">
                  <c:v>-6.3968831547171229E-2</c:v>
                </c:pt>
                <c:pt idx="77">
                  <c:v>-6.1648732829676783E-2</c:v>
                </c:pt>
                <c:pt idx="78">
                  <c:v>-5.9385917553620229E-2</c:v>
                </c:pt>
                <c:pt idx="79">
                  <c:v>-5.7178971385793129E-2</c:v>
                </c:pt>
                <c:pt idx="80">
                  <c:v>-5.5026514912998412E-2</c:v>
                </c:pt>
                <c:pt idx="81">
                  <c:v>-5.2927202779872215E-2</c:v>
                </c:pt>
                <c:pt idx="82">
                  <c:v>-5.0879722847992886E-2</c:v>
                </c:pt>
                <c:pt idx="83">
                  <c:v>-4.8882795375751839E-2</c:v>
                </c:pt>
                <c:pt idx="84">
                  <c:v>-4.6935172218473528E-2</c:v>
                </c:pt>
                <c:pt idx="85">
                  <c:v>-4.5035636048284061E-2</c:v>
                </c:pt>
                <c:pt idx="86">
                  <c:v>-4.3182999593241886E-2</c:v>
                </c:pt>
                <c:pt idx="87">
                  <c:v>-4.1376104895254256E-2</c:v>
                </c:pt>
                <c:pt idx="88">
                  <c:v>-3.9613822586315475E-2</c:v>
                </c:pt>
                <c:pt idx="89">
                  <c:v>-3.7895051182615311E-2</c:v>
                </c:pt>
                <c:pt idx="90">
                  <c:v>-3.6218716396075656E-2</c:v>
                </c:pt>
                <c:pt idx="91">
                  <c:v>-3.458377046288566E-2</c:v>
                </c:pt>
                <c:pt idx="92">
                  <c:v>-3.2989191488615052E-2</c:v>
                </c:pt>
                <c:pt idx="93">
                  <c:v>-3.1433982809496955E-2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D7-468E-BDA4-D27AFD4B68D8}"/>
            </c:ext>
          </c:extLst>
        </c:ser>
        <c:ser>
          <c:idx val="1"/>
          <c:order val="1"/>
          <c:tx>
            <c:strRef>
              <c:f>'Second Order V3'!$C$6</c:f>
              <c:strCache>
                <c:ptCount val="1"/>
                <c:pt idx="0">
                  <c:v>enveloppe max avec  marge et tunnel et +10ms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V3'!$C$7:$C$100</c:f>
              <c:numCache>
                <c:formatCode>General</c:formatCode>
                <c:ptCount val="94"/>
                <c:pt idx="0">
                  <c:v>0.72762480938978247</c:v>
                </c:pt>
                <c:pt idx="1">
                  <c:v>0.72762480938978247</c:v>
                </c:pt>
                <c:pt idx="2">
                  <c:v>0.72762480938978247</c:v>
                </c:pt>
                <c:pt idx="3">
                  <c:v>0.71286940027189782</c:v>
                </c:pt>
                <c:pt idx="4">
                  <c:v>0.69847830350319173</c:v>
                </c:pt>
                <c:pt idx="5">
                  <c:v>0.68444252417971363</c:v>
                </c:pt>
                <c:pt idx="6">
                  <c:v>0.67075328948248325</c:v>
                </c:pt>
                <c:pt idx="7">
                  <c:v>0.65740204319419226</c:v>
                </c:pt>
                <c:pt idx="8">
                  <c:v>0.64438044035129061</c:v>
                </c:pt>
                <c:pt idx="9">
                  <c:v>0.63168034202811219</c:v>
                </c:pt>
                <c:pt idx="10">
                  <c:v>0.61929381024978192</c:v>
                </c:pt>
                <c:pt idx="11">
                  <c:v>0.60721310303072262</c:v>
                </c:pt>
                <c:pt idx="12">
                  <c:v>0.59543066953566171</c:v>
                </c:pt>
                <c:pt idx="13">
                  <c:v>0.58393914536011415</c:v>
                </c:pt>
                <c:pt idx="14">
                  <c:v>0.57273134792738944</c:v>
                </c:pt>
                <c:pt idx="15">
                  <c:v>0.56180027199924742</c:v>
                </c:pt>
                <c:pt idx="16">
                  <c:v>0.55113908529739608</c:v>
                </c:pt>
                <c:pt idx="17">
                  <c:v>0.54074112423309584</c:v>
                </c:pt>
                <c:pt idx="18">
                  <c:v>0.53059988974219918</c:v>
                </c:pt>
                <c:pt idx="19">
                  <c:v>0.52070904322302403</c:v>
                </c:pt>
                <c:pt idx="20">
                  <c:v>0.51106240257452162</c:v>
                </c:pt>
                <c:pt idx="21">
                  <c:v>0.5016539383322618</c:v>
                </c:pt>
                <c:pt idx="22">
                  <c:v>0.49247776989982156</c:v>
                </c:pt>
                <c:pt idx="23">
                  <c:v>0.48352816187322117</c:v>
                </c:pt>
                <c:pt idx="24">
                  <c:v>0.47479952045610946</c:v>
                </c:pt>
                <c:pt idx="25">
                  <c:v>0.46628638996345945</c:v>
                </c:pt>
                <c:pt idx="26">
                  <c:v>0.4579834494115872</c:v>
                </c:pt>
                <c:pt idx="27">
                  <c:v>0.44988550919236425</c:v>
                </c:pt>
                <c:pt idx="28">
                  <c:v>0.44198750782954316</c:v>
                </c:pt>
                <c:pt idx="29">
                  <c:v>0.4342845088151705</c:v>
                </c:pt>
                <c:pt idx="30">
                  <c:v>0.42677169752410832</c:v>
                </c:pt>
                <c:pt idx="31">
                  <c:v>0.41944437820473707</c:v>
                </c:pt>
                <c:pt idx="32">
                  <c:v>0.41229797104395755</c:v>
                </c:pt>
                <c:pt idx="33">
                  <c:v>0.40532800930465901</c:v>
                </c:pt>
                <c:pt idx="34">
                  <c:v>0.39853013653386293</c:v>
                </c:pt>
                <c:pt idx="35">
                  <c:v>0.39190010383979801</c:v>
                </c:pt>
                <c:pt idx="36">
                  <c:v>0.38543376723620459</c:v>
                </c:pt>
                <c:pt idx="37">
                  <c:v>0.37912708505220832</c:v>
                </c:pt>
                <c:pt idx="38">
                  <c:v>0.37297611540614428</c:v>
                </c:pt>
                <c:pt idx="39">
                  <c:v>0.36697701374175251</c:v>
                </c:pt>
                <c:pt idx="40">
                  <c:v>0.36112603042520569</c:v>
                </c:pt>
                <c:pt idx="41">
                  <c:v>0.35541950840146508</c:v>
                </c:pt>
                <c:pt idx="42">
                  <c:v>0.34985388090850289</c:v>
                </c:pt>
                <c:pt idx="43">
                  <c:v>0.34442566924795948</c:v>
                </c:pt>
                <c:pt idx="44">
                  <c:v>0.33913148061084369</c:v>
                </c:pt>
                <c:pt idx="45">
                  <c:v>0.33396800595691695</c:v>
                </c:pt>
                <c:pt idx="46">
                  <c:v>0.32893201794643512</c:v>
                </c:pt>
                <c:pt idx="47">
                  <c:v>0.32402036892295633</c:v>
                </c:pt>
                <c:pt idx="48">
                  <c:v>0.31922998894595317</c:v>
                </c:pt>
                <c:pt idx="49">
                  <c:v>0.31455788387200001</c:v>
                </c:pt>
                <c:pt idx="50">
                  <c:v>0.31000113348333552</c:v>
                </c:pt>
                <c:pt idx="51">
                  <c:v>0.30555688966263211</c:v>
                </c:pt>
                <c:pt idx="52">
                  <c:v>0.30122237461282941</c:v>
                </c:pt>
                <c:pt idx="53">
                  <c:v>0.29699487912092093</c:v>
                </c:pt>
                <c:pt idx="54">
                  <c:v>0.29287176086460742</c:v>
                </c:pt>
                <c:pt idx="55">
                  <c:v>0.28885044276075988</c:v>
                </c:pt>
                <c:pt idx="56">
                  <c:v>0.28492841135465841</c:v>
                </c:pt>
                <c:pt idx="57">
                  <c:v>0.28110321524900123</c:v>
                </c:pt>
                <c:pt idx="58">
                  <c:v>0.27737246357170159</c:v>
                </c:pt>
                <c:pt idx="59">
                  <c:v>0.27373382448151501</c:v>
                </c:pt>
                <c:pt idx="60">
                  <c:v>0.27018502371056219</c:v>
                </c:pt>
                <c:pt idx="61">
                  <c:v>0.26672384314283815</c:v>
                </c:pt>
                <c:pt idx="62">
                  <c:v>0.263348119427817</c:v>
                </c:pt>
                <c:pt idx="63">
                  <c:v>0.26005574262828779</c:v>
                </c:pt>
                <c:pt idx="64">
                  <c:v>0.25684465490157482</c:v>
                </c:pt>
                <c:pt idx="65">
                  <c:v>0.25371284921331921</c:v>
                </c:pt>
                <c:pt idx="66">
                  <c:v>0.25065836808301672</c:v>
                </c:pt>
                <c:pt idx="67">
                  <c:v>0.24767930236052921</c:v>
                </c:pt>
                <c:pt idx="68">
                  <c:v>0.24477379003280331</c:v>
                </c:pt>
                <c:pt idx="69">
                  <c:v>0.24194001506005175</c:v>
                </c:pt>
                <c:pt idx="70">
                  <c:v>0.23917620624066926</c:v>
                </c:pt>
                <c:pt idx="71">
                  <c:v>0.23648063610417425</c:v>
                </c:pt>
                <c:pt idx="72">
                  <c:v>0.23385161983148312</c:v>
                </c:pt>
                <c:pt idx="73">
                  <c:v>0.23128751420184362</c:v>
                </c:pt>
                <c:pt idx="74">
                  <c:v>0.2287867165657686</c:v>
                </c:pt>
                <c:pt idx="75">
                  <c:v>0.22634766384332761</c:v>
                </c:pt>
                <c:pt idx="76">
                  <c:v>0.22396883154717123</c:v>
                </c:pt>
                <c:pt idx="77">
                  <c:v>0.22164873282967679</c:v>
                </c:pt>
                <c:pt idx="78">
                  <c:v>0.21938591755362025</c:v>
                </c:pt>
                <c:pt idx="79">
                  <c:v>0.21717897138579312</c:v>
                </c:pt>
                <c:pt idx="80">
                  <c:v>0.2150265149129984</c:v>
                </c:pt>
                <c:pt idx="81">
                  <c:v>0.2129272027798722</c:v>
                </c:pt>
                <c:pt idx="82">
                  <c:v>0.21087972284799289</c:v>
                </c:pt>
                <c:pt idx="83">
                  <c:v>0.20888279537575183</c:v>
                </c:pt>
                <c:pt idx="84">
                  <c:v>0.20693517221847352</c:v>
                </c:pt>
                <c:pt idx="85">
                  <c:v>0.20503563604828406</c:v>
                </c:pt>
                <c:pt idx="86">
                  <c:v>0.20318299959324188</c:v>
                </c:pt>
                <c:pt idx="87">
                  <c:v>0.20137610489525426</c:v>
                </c:pt>
                <c:pt idx="88">
                  <c:v>0.19961382258631549</c:v>
                </c:pt>
                <c:pt idx="89">
                  <c:v>0.1978950511826153</c:v>
                </c:pt>
                <c:pt idx="90">
                  <c:v>0.19621871639607563</c:v>
                </c:pt>
                <c:pt idx="91">
                  <c:v>0.19458377046288566</c:v>
                </c:pt>
                <c:pt idx="92">
                  <c:v>0.19298919148861504</c:v>
                </c:pt>
                <c:pt idx="93">
                  <c:v>0.19143398280949697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D7-468E-BDA4-D27AFD4B68D8}"/>
            </c:ext>
          </c:extLst>
        </c:ser>
        <c:ser>
          <c:idx val="2"/>
          <c:order val="2"/>
          <c:tx>
            <c:strRef>
              <c:f>'Second Order V3'!$D$6</c:f>
              <c:strCache>
                <c:ptCount val="1"/>
                <c:pt idx="0">
                  <c:v>Expected minumum exponential response with x margin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V3'!$D$7:$D$100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0.23936661583727536</c:v>
                </c:pt>
                <c:pt idx="3">
                  <c:v>0.23543184007250612</c:v>
                </c:pt>
                <c:pt idx="4">
                  <c:v>0.23159421426751781</c:v>
                </c:pt>
                <c:pt idx="5">
                  <c:v>0.22785133978125699</c:v>
                </c:pt>
                <c:pt idx="6">
                  <c:v>0.22420087719532888</c:v>
                </c:pt>
                <c:pt idx="7">
                  <c:v>0.22064054485178464</c:v>
                </c:pt>
                <c:pt idx="8">
                  <c:v>0.21716811742701086</c:v>
                </c:pt>
                <c:pt idx="9">
                  <c:v>0.21378142454082993</c:v>
                </c:pt>
                <c:pt idx="10">
                  <c:v>0.21047834939994187</c:v>
                </c:pt>
                <c:pt idx="11">
                  <c:v>0.20725682747485935</c:v>
                </c:pt>
                <c:pt idx="12">
                  <c:v>0.20411484520950979</c:v>
                </c:pt>
                <c:pt idx="13">
                  <c:v>0.20105043876269713</c:v>
                </c:pt>
                <c:pt idx="14">
                  <c:v>0.19806169278063721</c:v>
                </c:pt>
                <c:pt idx="15">
                  <c:v>0.1951467391997993</c:v>
                </c:pt>
                <c:pt idx="16">
                  <c:v>0.19230375607930564</c:v>
                </c:pt>
                <c:pt idx="17">
                  <c:v>0.18953096646215889</c:v>
                </c:pt>
                <c:pt idx="18">
                  <c:v>0.18682663726458648</c:v>
                </c:pt>
                <c:pt idx="19">
                  <c:v>0.18418907819280644</c:v>
                </c:pt>
                <c:pt idx="20">
                  <c:v>0.1816166406865391</c:v>
                </c:pt>
                <c:pt idx="21">
                  <c:v>0.17910771688860316</c:v>
                </c:pt>
                <c:pt idx="22">
                  <c:v>0.17666073863995244</c:v>
                </c:pt>
                <c:pt idx="23">
                  <c:v>0.17427417649952567</c:v>
                </c:pt>
                <c:pt idx="24">
                  <c:v>0.17194653878829586</c:v>
                </c:pt>
                <c:pt idx="25">
                  <c:v>0.16967637065692254</c:v>
                </c:pt>
                <c:pt idx="26">
                  <c:v>0.16746225317642327</c:v>
                </c:pt>
                <c:pt idx="27">
                  <c:v>0.16530280245129714</c:v>
                </c:pt>
                <c:pt idx="28">
                  <c:v>0.16319666875454486</c:v>
                </c:pt>
                <c:pt idx="29">
                  <c:v>0.16114253568404546</c:v>
                </c:pt>
                <c:pt idx="30">
                  <c:v>0.15913911933976221</c:v>
                </c:pt>
                <c:pt idx="31">
                  <c:v>0.15718516752126321</c:v>
                </c:pt>
                <c:pt idx="32">
                  <c:v>0.15527945894505535</c:v>
                </c:pt>
                <c:pt idx="33">
                  <c:v>0.1534208024812424</c:v>
                </c:pt>
                <c:pt idx="34">
                  <c:v>0.15160803640903014</c:v>
                </c:pt>
                <c:pt idx="35">
                  <c:v>0.14984002769061283</c:v>
                </c:pt>
                <c:pt idx="36">
                  <c:v>0.14811567126298791</c:v>
                </c:pt>
                <c:pt idx="37">
                  <c:v>0.14643388934725557</c:v>
                </c:pt>
                <c:pt idx="38">
                  <c:v>0.14479363077497182</c:v>
                </c:pt>
                <c:pt idx="39">
                  <c:v>0.14319387033113401</c:v>
                </c:pt>
                <c:pt idx="40">
                  <c:v>0.14163360811338821</c:v>
                </c:pt>
                <c:pt idx="41">
                  <c:v>0.14011186890705735</c:v>
                </c:pt>
                <c:pt idx="42">
                  <c:v>0.13862770157560078</c:v>
                </c:pt>
                <c:pt idx="43">
                  <c:v>0.13718017846612254</c:v>
                </c:pt>
                <c:pt idx="44">
                  <c:v>0.13576839482955833</c:v>
                </c:pt>
                <c:pt idx="45">
                  <c:v>0.13439146825517786</c:v>
                </c:pt>
                <c:pt idx="46">
                  <c:v>0.13304853811904938</c:v>
                </c:pt>
                <c:pt idx="47">
                  <c:v>0.1317387650461217</c:v>
                </c:pt>
                <c:pt idx="48">
                  <c:v>0.13046133038558752</c:v>
                </c:pt>
                <c:pt idx="49">
                  <c:v>0.12921543569920002</c:v>
                </c:pt>
                <c:pt idx="50">
                  <c:v>0.12800030226222281</c:v>
                </c:pt>
                <c:pt idx="51">
                  <c:v>0.12681517057670191</c:v>
                </c:pt>
                <c:pt idx="52">
                  <c:v>0.12565929989675453</c:v>
                </c:pt>
                <c:pt idx="53">
                  <c:v>0.12453196776557893</c:v>
                </c:pt>
                <c:pt idx="54">
                  <c:v>0.12343246956389532</c:v>
                </c:pt>
                <c:pt idx="55">
                  <c:v>0.12236011806953598</c:v>
                </c:pt>
                <c:pt idx="56">
                  <c:v>0.12131424302790893</c:v>
                </c:pt>
                <c:pt idx="57">
                  <c:v>0.12029419073306701</c:v>
                </c:pt>
                <c:pt idx="58">
                  <c:v>0.11929932361912043</c:v>
                </c:pt>
                <c:pt idx="59">
                  <c:v>0.11832901986173734</c:v>
                </c:pt>
                <c:pt idx="60">
                  <c:v>0.11738267298948325</c:v>
                </c:pt>
                <c:pt idx="61">
                  <c:v>0.11645969150475685</c:v>
                </c:pt>
                <c:pt idx="62">
                  <c:v>0.11555949851408454</c:v>
                </c:pt>
                <c:pt idx="63">
                  <c:v>0.11468153136754342</c:v>
                </c:pt>
                <c:pt idx="64">
                  <c:v>0.11382524130708663</c:v>
                </c:pt>
                <c:pt idx="65">
                  <c:v>0.11299009312355179</c:v>
                </c:pt>
                <c:pt idx="66">
                  <c:v>0.11217556482213779</c:v>
                </c:pt>
                <c:pt idx="67">
                  <c:v>0.11138114729614113</c:v>
                </c:pt>
                <c:pt idx="68">
                  <c:v>0.11060634400874755</c:v>
                </c:pt>
                <c:pt idx="69">
                  <c:v>0.10985067068268047</c:v>
                </c:pt>
                <c:pt idx="70">
                  <c:v>0.10911365499751181</c:v>
                </c:pt>
                <c:pt idx="71">
                  <c:v>0.10839483629444648</c:v>
                </c:pt>
                <c:pt idx="72">
                  <c:v>0.1076937652883955</c:v>
                </c:pt>
                <c:pt idx="73">
                  <c:v>0.10701000378715832</c:v>
                </c:pt>
                <c:pt idx="74">
                  <c:v>0.10634312441753831</c:v>
                </c:pt>
                <c:pt idx="75">
                  <c:v>0.1056927103582207</c:v>
                </c:pt>
                <c:pt idx="76">
                  <c:v>0.10505835507924566</c:v>
                </c:pt>
                <c:pt idx="77">
                  <c:v>0.10443966208791382</c:v>
                </c:pt>
                <c:pt idx="78">
                  <c:v>0.1038362446809654</c:v>
                </c:pt>
                <c:pt idx="79">
                  <c:v>0.10324772570287817</c:v>
                </c:pt>
                <c:pt idx="80">
                  <c:v>0.10267373731013292</c:v>
                </c:pt>
                <c:pt idx="81">
                  <c:v>0.10211392074129927</c:v>
                </c:pt>
                <c:pt idx="82">
                  <c:v>0.10156792609279811</c:v>
                </c:pt>
                <c:pt idx="83">
                  <c:v>0.10103541210020049</c:v>
                </c:pt>
                <c:pt idx="84">
                  <c:v>0.10051604592492627</c:v>
                </c:pt>
                <c:pt idx="85">
                  <c:v>0.10000950294620908</c:v>
                </c:pt>
                <c:pt idx="86">
                  <c:v>9.9515466558197846E-2</c:v>
                </c:pt>
                <c:pt idx="87">
                  <c:v>9.90336279720678E-2</c:v>
                </c:pt>
                <c:pt idx="88">
                  <c:v>9.8563686023017461E-2</c:v>
                </c:pt>
                <c:pt idx="89">
                  <c:v>9.8105346982030758E-2</c:v>
                </c:pt>
                <c:pt idx="90">
                  <c:v>9.7658324372286845E-2</c:v>
                </c:pt>
                <c:pt idx="91">
                  <c:v>9.722233879010285E-2</c:v>
                </c:pt>
                <c:pt idx="92">
                  <c:v>9.6797117730297352E-2</c:v>
                </c:pt>
                <c:pt idx="93">
                  <c:v>9.6382395415865851E-2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D7-468E-BDA4-D27AFD4B68D8}"/>
            </c:ext>
          </c:extLst>
        </c:ser>
        <c:ser>
          <c:idx val="3"/>
          <c:order val="3"/>
          <c:tx>
            <c:strRef>
              <c:f>'Second Order V3'!$E$6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V3'!$E$7:$E$100</c:f>
              <c:numCache>
                <c:formatCode>General</c:formatCode>
                <c:ptCount val="94"/>
                <c:pt idx="0">
                  <c:v>0.47841653959318836</c:v>
                </c:pt>
                <c:pt idx="1">
                  <c:v>0.46066743019841644</c:v>
                </c:pt>
                <c:pt idx="2">
                  <c:v>0.4432814664085456</c:v>
                </c:pt>
                <c:pt idx="3">
                  <c:v>0.42626388722580788</c:v>
                </c:pt>
                <c:pt idx="4">
                  <c:v>0.40961918986818058</c:v>
                </c:pt>
                <c:pt idx="5">
                  <c:v>0.39335116001021259</c:v>
                </c:pt>
                <c:pt idx="6">
                  <c:v>0.37746290148824035</c:v>
                </c:pt>
                <c:pt idx="7">
                  <c:v>0.36195686545690359</c:v>
                </c:pt>
                <c:pt idx="8">
                  <c:v>0.34683487898523363</c:v>
                </c:pt>
                <c:pt idx="9">
                  <c:v>0.33209817308189965</c:v>
                </c:pt>
                <c:pt idx="10">
                  <c:v>0.31774741014045932</c:v>
                </c:pt>
                <c:pt idx="11">
                  <c:v>0.30378271079667274</c:v>
                </c:pt>
                <c:pt idx="12">
                  <c:v>0.2902036801910996</c:v>
                </c:pt>
                <c:pt idx="13">
                  <c:v>0.27700943363131969</c:v>
                </c:pt>
                <c:pt idx="14">
                  <c:v>0.2641986216491809</c:v>
                </c:pt>
                <c:pt idx="15">
                  <c:v>0.2517694544495041</c:v>
                </c:pt>
                <c:pt idx="16">
                  <c:v>0.23971972574765182</c:v>
                </c:pt>
                <c:pt idx="17">
                  <c:v>0.22804683599429842</c:v>
                </c:pt>
                <c:pt idx="18">
                  <c:v>0.21674781498663309</c:v>
                </c:pt>
                <c:pt idx="19">
                  <c:v>0.20581934386607109</c:v>
                </c:pt>
                <c:pt idx="20">
                  <c:v>0.19525777650335646</c:v>
                </c:pt>
                <c:pt idx="21">
                  <c:v>0.18505916027270553</c:v>
                </c:pt>
                <c:pt idx="22">
                  <c:v>0.17521925621736401</c:v>
                </c:pt>
                <c:pt idx="23">
                  <c:v>0.16573355860964203</c:v>
                </c:pt>
                <c:pt idx="24">
                  <c:v>0.1565973139091372</c:v>
                </c:pt>
                <c:pt idx="25">
                  <c:v>0.1478055391234723</c:v>
                </c:pt>
                <c:pt idx="26">
                  <c:v>0.13935303957645051</c:v>
                </c:pt>
                <c:pt idx="27">
                  <c:v>0.1312344260890744</c:v>
                </c:pt>
                <c:pt idx="28">
                  <c:v>0.12344413157938411</c:v>
                </c:pt>
                <c:pt idx="29">
                  <c:v>0.11597642708754766</c:v>
                </c:pt>
                <c:pt idx="30">
                  <c:v>0.10882543723308015</c:v>
                </c:pt>
                <c:pt idx="31">
                  <c:v>0.10198515511148398</c:v>
                </c:pt>
                <c:pt idx="32">
                  <c:v>9.5449456637985555E-2</c:v>
                </c:pt>
                <c:pt idx="33">
                  <c:v>8.9212114346399918E-2</c:v>
                </c:pt>
                <c:pt idx="34">
                  <c:v>8.3266810651482573E-2</c:v>
                </c:pt>
                <c:pt idx="35">
                  <c:v>7.7607150583427612E-2</c:v>
                </c:pt>
                <c:pt idx="36">
                  <c:v>7.2226674003446234E-2</c:v>
                </c:pt>
                <c:pt idx="37">
                  <c:v>6.7118867309608934E-2</c:v>
                </c:pt>
                <c:pt idx="38">
                  <c:v>6.2277174642359337E-2</c:v>
                </c:pt>
                <c:pt idx="39">
                  <c:v>5.7695008599309525E-2</c:v>
                </c:pt>
                <c:pt idx="40">
                  <c:v>5.3365760469106099E-2</c:v>
                </c:pt>
                <c:pt idx="41">
                  <c:v>4.9282809994312712E-2</c:v>
                </c:pt>
                <c:pt idx="42">
                  <c:v>4.5439534673392297E-2</c:v>
                </c:pt>
                <c:pt idx="43">
                  <c:v>4.1829318611988554E-2</c:v>
                </c:pt>
                <c:pt idx="44">
                  <c:v>3.844556093380383E-2</c:v>
                </c:pt>
                <c:pt idx="45">
                  <c:v>3.5281683761449308E-2</c:v>
                </c:pt>
                <c:pt idx="46">
                  <c:v>3.2331139777705756E-2</c:v>
                </c:pt>
                <c:pt idx="47">
                  <c:v>2.9587419377676921E-2</c:v>
                </c:pt>
                <c:pt idx="48">
                  <c:v>2.7044057422347466E-2</c:v>
                </c:pt>
                <c:pt idx="49">
                  <c:v>2.4694639604070208E-2</c:v>
                </c:pt>
                <c:pt idx="50">
                  <c:v>2.2532808434506037E-2</c:v>
                </c:pt>
                <c:pt idx="51">
                  <c:v>2.0552268865526545E-2</c:v>
                </c:pt>
                <c:pt idx="52">
                  <c:v>1.8746793553559113E-2</c:v>
                </c:pt>
                <c:pt idx="53">
                  <c:v>1.7110227777815776E-2</c:v>
                </c:pt>
                <c:pt idx="54">
                  <c:v>1.5636494022793559E-2</c:v>
                </c:pt>
                <c:pt idx="55">
                  <c:v>1.431959623537131E-2</c:v>
                </c:pt>
                <c:pt idx="56">
                  <c:v>1.315362376675322E-2</c:v>
                </c:pt>
                <c:pt idx="57">
                  <c:v>1.2132755009426205E-2</c:v>
                </c:pt>
                <c:pt idx="58">
                  <c:v>1.1251260739204516E-2</c:v>
                </c:pt>
                <c:pt idx="59">
                  <c:v>1.0503507172332921E-2</c:v>
                </c:pt>
                <c:pt idx="60">
                  <c:v>9.883958747510177E-3</c:v>
                </c:pt>
                <c:pt idx="61">
                  <c:v>9.3871806425756404E-3</c:v>
                </c:pt>
                <c:pt idx="62">
                  <c:v>9.0078410354783034E-3</c:v>
                </c:pt>
                <c:pt idx="63">
                  <c:v>8.740713119014476E-3</c:v>
                </c:pt>
                <c:pt idx="64">
                  <c:v>8.5806768786841903E-3</c:v>
                </c:pt>
                <c:pt idx="65">
                  <c:v>8.5227206428717256E-3</c:v>
                </c:pt>
                <c:pt idx="66">
                  <c:v>8.5619424144083855E-3</c:v>
                </c:pt>
                <c:pt idx="67">
                  <c:v>8.693550992421431E-3</c:v>
                </c:pt>
                <c:pt idx="68">
                  <c:v>8.9128668932168253E-3</c:v>
                </c:pt>
                <c:pt idx="69">
                  <c:v>9.2153230787806323E-3</c:v>
                </c:pt>
                <c:pt idx="70">
                  <c:v>9.5964655013208444E-3</c:v>
                </c:pt>
                <c:pt idx="71">
                  <c:v>1.0051953472101888E-2</c:v>
                </c:pt>
                <c:pt idx="72">
                  <c:v>1.0577559862654837E-2</c:v>
                </c:pt>
                <c:pt idx="73">
                  <c:v>1.1169171146272583E-2</c:v>
                </c:pt>
                <c:pt idx="74">
                  <c:v>1.1822787287524547E-2</c:v>
                </c:pt>
                <c:pt idx="75">
                  <c:v>1.2534521487349196E-2</c:v>
                </c:pt>
                <c:pt idx="76">
                  <c:v>1.3300599791104289E-2</c:v>
                </c:pt>
                <c:pt idx="77">
                  <c:v>1.4117360566775608E-2</c:v>
                </c:pt>
                <c:pt idx="78">
                  <c:v>1.4981253860365806E-2</c:v>
                </c:pt>
                <c:pt idx="79">
                  <c:v>1.5888840635303977E-2</c:v>
                </c:pt>
                <c:pt idx="80">
                  <c:v>1.6836791902536688E-2</c:v>
                </c:pt>
                <c:pt idx="81">
                  <c:v>1.7821887747779541E-2</c:v>
                </c:pt>
                <c:pt idx="82">
                  <c:v>1.884101626222974E-2</c:v>
                </c:pt>
                <c:pt idx="83">
                  <c:v>1.9891172382858972E-2</c:v>
                </c:pt>
                <c:pt idx="84">
                  <c:v>2.0969456648227115E-2</c:v>
                </c:pt>
                <c:pt idx="85">
                  <c:v>2.2073073875579483E-2</c:v>
                </c:pt>
                <c:pt idx="86">
                  <c:v>2.3199331764812973E-2</c:v>
                </c:pt>
                <c:pt idx="87">
                  <c:v>2.4345639434720186E-2</c:v>
                </c:pt>
                <c:pt idx="88">
                  <c:v>2.5509505896747046E-2</c:v>
                </c:pt>
                <c:pt idx="89">
                  <c:v>2.6688538471325463E-2</c:v>
                </c:pt>
                <c:pt idx="90">
                  <c:v>2.7880441151672875E-2</c:v>
                </c:pt>
                <c:pt idx="91">
                  <c:v>2.9083012919780014E-2</c:v>
                </c:pt>
                <c:pt idx="92">
                  <c:v>3.0294146019141967E-2</c:v>
                </c:pt>
                <c:pt idx="93">
                  <c:v>3.1511824188621737E-2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D7-468E-BDA4-D27AFD4B68D8}"/>
            </c:ext>
          </c:extLst>
        </c:ser>
        <c:ser>
          <c:idx val="4"/>
          <c:order val="4"/>
          <c:tx>
            <c:strRef>
              <c:f>'Second Order V3'!$F$6</c:f>
              <c:strCache>
                <c:ptCount val="1"/>
                <c:pt idx="0">
                  <c:v>expecter behavior (min values H and D)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V3'!$F$7:$F$100</c:f>
              <c:numCache>
                <c:formatCode>General</c:formatCode>
                <c:ptCount val="94"/>
                <c:pt idx="0">
                  <c:v>0.47841653959318836</c:v>
                </c:pt>
                <c:pt idx="1">
                  <c:v>0.46763730545568544</c:v>
                </c:pt>
                <c:pt idx="2">
                  <c:v>0.4568220093075972</c:v>
                </c:pt>
                <c:pt idx="3">
                  <c:v>0.44598226455401691</c:v>
                </c:pt>
                <c:pt idx="4">
                  <c:v>0.43512934253964275</c:v>
                </c:pt>
                <c:pt idx="5">
                  <c:v>0.42427417240192727</c:v>
                </c:pt>
                <c:pt idx="6">
                  <c:v>0.41342734126037639</c:v>
                </c:pt>
                <c:pt idx="7">
                  <c:v>0.40259909473122807</c:v>
                </c:pt>
                <c:pt idx="8">
                  <c:v>0.3917993377567659</c:v>
                </c:pt>
                <c:pt idx="9">
                  <c:v>0.38103763573855282</c:v>
                </c:pt>
                <c:pt idx="10">
                  <c:v>0.37032321596391882</c:v>
                </c:pt>
                <c:pt idx="11">
                  <c:v>0.35966496931508229</c:v>
                </c:pt>
                <c:pt idx="12">
                  <c:v>0.34907145225035019</c:v>
                </c:pt>
                <c:pt idx="13">
                  <c:v>0.33855088904690667</c:v>
                </c:pt>
                <c:pt idx="14">
                  <c:v>0.3281111742947822</c:v>
                </c:pt>
                <c:pt idx="15">
                  <c:v>0.31775987563167357</c:v>
                </c:pt>
                <c:pt idx="16">
                  <c:v>0.3075042367083819</c:v>
                </c:pt>
                <c:pt idx="17">
                  <c:v>0.29735118037473213</c:v>
                </c:pt>
                <c:pt idx="18">
                  <c:v>0.28730731207594412</c:v>
                </c:pt>
                <c:pt idx="19">
                  <c:v>0.27737892344953674</c:v>
                </c:pt>
                <c:pt idx="20">
                  <c:v>0.26757199611296517</c:v>
                </c:pt>
                <c:pt idx="21">
                  <c:v>0.25789220563231574</c:v>
                </c:pt>
                <c:pt idx="22">
                  <c:v>0.24834492566250982</c:v>
                </c:pt>
                <c:pt idx="23">
                  <c:v>0.23893523224960567</c:v>
                </c:pt>
                <c:pt idx="24">
                  <c:v>0.2296679082859257</c:v>
                </c:pt>
                <c:pt idx="25">
                  <c:v>0.22054744810887777</c:v>
                </c:pt>
                <c:pt idx="26">
                  <c:v>0.21157806223449266</c:v>
                </c:pt>
                <c:pt idx="27">
                  <c:v>0.20276368221684732</c:v>
                </c:pt>
                <c:pt idx="28">
                  <c:v>0.19410796562470273</c:v>
                </c:pt>
                <c:pt idx="29">
                  <c:v>0.18561430112684218</c:v>
                </c:pt>
                <c:pt idx="30">
                  <c:v>0.17728581367776178</c:v>
                </c:pt>
                <c:pt idx="31">
                  <c:v>0.16912536979552822</c:v>
                </c:pt>
                <c:pt idx="32">
                  <c:v>0.16113558292378699</c:v>
                </c:pt>
                <c:pt idx="33">
                  <c:v>0.15331881887007803</c:v>
                </c:pt>
                <c:pt idx="34">
                  <c:v>0.14567720131278586</c:v>
                </c:pt>
                <c:pt idx="35">
                  <c:v>0.13821261736922785</c:v>
                </c:pt>
                <c:pt idx="36">
                  <c:v>0.13092672321756132</c:v>
                </c:pt>
                <c:pt idx="37">
                  <c:v>0.12382094976536748</c:v>
                </c:pt>
                <c:pt idx="38">
                  <c:v>0.11689650835795112</c:v>
                </c:pt>
                <c:pt idx="39">
                  <c:v>0.11015439651957472</c:v>
                </c:pt>
                <c:pt idx="40">
                  <c:v>0.10359540372102821</c:v>
                </c:pt>
                <c:pt idx="41">
                  <c:v>9.7220117167116843E-2</c:v>
                </c:pt>
                <c:pt idx="42">
                  <c:v>9.1028927597833736E-2</c:v>
                </c:pt>
                <c:pt idx="43">
                  <c:v>8.5022035097165452E-2</c:v>
                </c:pt>
                <c:pt idx="44">
                  <c:v>7.9199454903663064E-2</c:v>
                </c:pt>
                <c:pt idx="45">
                  <c:v>7.3561023217093902E-2</c:v>
                </c:pt>
                <c:pt idx="46">
                  <c:v>6.8106402995671819E-2</c:v>
                </c:pt>
                <c:pt idx="47">
                  <c:v>6.2835089738546665E-2</c:v>
                </c:pt>
                <c:pt idx="48">
                  <c:v>5.7746417248414977E-2</c:v>
                </c:pt>
                <c:pt idx="49">
                  <c:v>5.2839563369295697E-2</c:v>
                </c:pt>
                <c:pt idx="50">
                  <c:v>4.8113555694693506E-2</c:v>
                </c:pt>
                <c:pt idx="51">
                  <c:v>4.3567277241553404E-2</c:v>
                </c:pt>
                <c:pt idx="52">
                  <c:v>3.9199472085586273E-2</c:v>
                </c:pt>
                <c:pt idx="53">
                  <c:v>3.5008750953723008E-2</c:v>
                </c:pt>
                <c:pt idx="54">
                  <c:v>3.0993596769629289E-2</c:v>
                </c:pt>
                <c:pt idx="55">
                  <c:v>2.7152370148387006E-2</c:v>
                </c:pt>
                <c:pt idx="56">
                  <c:v>2.3483314836619924E-2</c:v>
                </c:pt>
                <c:pt idx="57">
                  <c:v>1.9984563094511625E-2</c:v>
                </c:pt>
                <c:pt idx="58">
                  <c:v>1.6654141016331461E-2</c:v>
                </c:pt>
                <c:pt idx="59">
                  <c:v>1.3489973786251136E-2</c:v>
                </c:pt>
                <c:pt idx="60">
                  <c:v>1.04898908663974E-2</c:v>
                </c:pt>
                <c:pt idx="61">
                  <c:v>7.6516311142496157E-3</c:v>
                </c:pt>
                <c:pt idx="62">
                  <c:v>4.9728478266489184E-3</c:v>
                </c:pt>
                <c:pt idx="63">
                  <c:v>2.451113707844621E-3</c:v>
                </c:pt>
                <c:pt idx="64">
                  <c:v>8.3925759156125435E-5</c:v>
                </c:pt>
                <c:pt idx="65">
                  <c:v>-2.1312899120170536E-3</c:v>
                </c:pt>
                <c:pt idx="66">
                  <c:v>-4.1971733659566801E-3</c:v>
                </c:pt>
                <c:pt idx="67">
                  <c:v>-6.1164261891306221E-3</c:v>
                </c:pt>
                <c:pt idx="68">
                  <c:v>-7.8918069392680534E-3</c:v>
                </c:pt>
                <c:pt idx="69">
                  <c:v>-9.5261266786926535E-3</c:v>
                </c:pt>
                <c:pt idx="70">
                  <c:v>-1.1022244597460165E-2</c:v>
                </c:pt>
                <c:pt idx="71">
                  <c:v>-1.2383063727713306E-2</c:v>
                </c:pt>
                <c:pt idx="72">
                  <c:v>-1.3611526750532552E-2</c:v>
                </c:pt>
                <c:pt idx="73">
                  <c:v>-1.4710611896432399E-2</c:v>
                </c:pt>
                <c:pt idx="74">
                  <c:v>-1.5683328940525154E-2</c:v>
                </c:pt>
                <c:pt idx="75">
                  <c:v>-1.6532715293250941E-2</c:v>
                </c:pt>
                <c:pt idx="76">
                  <c:v>-1.7261832187451115E-2</c:v>
                </c:pt>
                <c:pt idx="77">
                  <c:v>-1.7873760962445223E-2</c:v>
                </c:pt>
                <c:pt idx="78">
                  <c:v>-1.8371599445655959E-2</c:v>
                </c:pt>
                <c:pt idx="79">
                  <c:v>-1.8758458432216074E-2</c:v>
                </c:pt>
                <c:pt idx="80">
                  <c:v>-1.9037458262881155E-2</c:v>
                </c:pt>
                <c:pt idx="81">
                  <c:v>-1.9211725500468416E-2</c:v>
                </c:pt>
                <c:pt idx="82">
                  <c:v>-1.928438970493751E-2</c:v>
                </c:pt>
                <c:pt idx="83">
                  <c:v>-1.9258580307131914E-2</c:v>
                </c:pt>
                <c:pt idx="84">
                  <c:v>-1.9137423581101709E-2</c:v>
                </c:pt>
                <c:pt idx="85">
                  <c:v>-1.8924039714836402E-2</c:v>
                </c:pt>
                <c:pt idx="86">
                  <c:v>-1.8621539979146923E-2</c:v>
                </c:pt>
                <c:pt idx="87">
                  <c:v>-1.8233023994347439E-2</c:v>
                </c:pt>
                <c:pt idx="88">
                  <c:v>-1.7761577094306175E-2</c:v>
                </c:pt>
                <c:pt idx="89">
                  <c:v>-1.7210267787350936E-2</c:v>
                </c:pt>
                <c:pt idx="90">
                  <c:v>-1.6582145313440697E-2</c:v>
                </c:pt>
                <c:pt idx="91">
                  <c:v>-1.5880237296936217E-2</c:v>
                </c:pt>
                <c:pt idx="92">
                  <c:v>-1.5107547494234264E-2</c:v>
                </c:pt>
                <c:pt idx="93">
                  <c:v>-1.4267053635459478E-2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D7-468E-BDA4-D27AFD4B68D8}"/>
            </c:ext>
          </c:extLst>
        </c:ser>
        <c:ser>
          <c:idx val="5"/>
          <c:order val="5"/>
          <c:tx>
            <c:strRef>
              <c:f>'Second Order V3'!$G$6</c:f>
              <c:strCache>
                <c:ptCount val="1"/>
                <c:pt idx="0">
                  <c:v>expecter behavior (max values H and D)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V3'!$G$7:$G$100</c:f>
              <c:numCache>
                <c:formatCode>General</c:formatCode>
                <c:ptCount val="94"/>
                <c:pt idx="0">
                  <c:v>0.47841653959318836</c:v>
                </c:pt>
                <c:pt idx="1">
                  <c:v>0.45227593275604761</c:v>
                </c:pt>
                <c:pt idx="2">
                  <c:v>0.42722425166366684</c:v>
                </c:pt>
                <c:pt idx="3">
                  <c:v>0.40323477446967937</c:v>
                </c:pt>
                <c:pt idx="4">
                  <c:v>0.38028056123217624</c:v>
                </c:pt>
                <c:pt idx="5">
                  <c:v>0.35833452167714924</c:v>
                </c:pt>
                <c:pt idx="6">
                  <c:v>0.33736947854806126</c:v>
                </c:pt>
                <c:pt idx="7">
                  <c:v>0.31735822672445069</c:v>
                </c:pt>
                <c:pt idx="8">
                  <c:v>0.29827358828803729</c:v>
                </c:pt>
                <c:pt idx="9">
                  <c:v>0.28008846371030938</c:v>
                </c:pt>
                <c:pt idx="10">
                  <c:v>0.2627758793310645</c:v>
                </c:pt>
                <c:pt idx="11">
                  <c:v>0.24630903129284221</c:v>
                </c:pt>
                <c:pt idx="12">
                  <c:v>0.23066132609165391</c:v>
                </c:pt>
                <c:pt idx="13">
                  <c:v>0.21580641789987892</c:v>
                </c:pt>
                <c:pt idx="14">
                  <c:v>0.2017182428126707</c:v>
                </c:pt>
                <c:pt idx="15">
                  <c:v>0.18837105016471323</c:v>
                </c:pt>
                <c:pt idx="16">
                  <c:v>0.17573943105968709</c:v>
                </c:pt>
                <c:pt idx="17">
                  <c:v>0.16379834425035877</c:v>
                </c:pt>
                <c:pt idx="18">
                  <c:v>0.15252313950280111</c:v>
                </c:pt>
                <c:pt idx="19">
                  <c:v>0.14188957857388954</c:v>
                </c:pt>
                <c:pt idx="20">
                  <c:v>0.13187385392691076</c:v>
                </c:pt>
                <c:pt idx="21">
                  <c:v>0.12245260530586372</c:v>
                </c:pt>
                <c:pt idx="22">
                  <c:v>0.11360293428483867</c:v>
                </c:pt>
                <c:pt idx="23">
                  <c:v>0.1053024169047299</c:v>
                </c:pt>
                <c:pt idx="24">
                  <c:v>9.7529114505474232E-2</c:v>
                </c:pt>
                <c:pt idx="25">
                  <c:v>9.0261582858015346E-2</c:v>
                </c:pt>
                <c:pt idx="26">
                  <c:v>8.3478879696276584E-2</c:v>
                </c:pt>
                <c:pt idx="27">
                  <c:v>7.7160570745582385E-2</c:v>
                </c:pt>
                <c:pt idx="28">
                  <c:v>7.1286734340205188E-2</c:v>
                </c:pt>
                <c:pt idx="29">
                  <c:v>6.5837964719032555E-2</c:v>
                </c:pt>
                <c:pt idx="30">
                  <c:v>6.0795374084747875E-2</c:v>
                </c:pt>
                <c:pt idx="31">
                  <c:v>5.6140593508400699E-2</c:v>
                </c:pt>
                <c:pt idx="32">
                  <c:v>5.1855772757809983E-2</c:v>
                </c:pt>
                <c:pt idx="33">
                  <c:v>4.7923579124895331E-2</c:v>
                </c:pt>
                <c:pt idx="34">
                  <c:v>4.4327195323770843E-2</c:v>
                </c:pt>
                <c:pt idx="35">
                  <c:v>4.1050316528258725E-2</c:v>
                </c:pt>
                <c:pt idx="36">
                  <c:v>3.8077146614392855E-2</c:v>
                </c:pt>
                <c:pt idx="37">
                  <c:v>3.5392393670478701E-2</c:v>
                </c:pt>
                <c:pt idx="38">
                  <c:v>3.2981264834360702E-2</c:v>
                </c:pt>
                <c:pt idx="39">
                  <c:v>3.082946051471766E-2</c:v>
                </c:pt>
                <c:pt idx="40">
                  <c:v>2.8923168050463327E-2</c:v>
                </c:pt>
                <c:pt idx="41">
                  <c:v>2.7249054859668685E-2</c:v>
                </c:pt>
                <c:pt idx="42">
                  <c:v>2.5794261126849023E-2</c:v>
                </c:pt>
                <c:pt idx="43">
                  <c:v>2.4546392074965742E-2</c:v>
                </c:pt>
                <c:pt idx="44">
                  <c:v>2.3493509866085706E-2</c:v>
                </c:pt>
                <c:pt idx="45">
                  <c:v>2.2624125172312076E-2</c:v>
                </c:pt>
                <c:pt idx="46">
                  <c:v>2.1927188456354253E-2</c:v>
                </c:pt>
                <c:pt idx="47">
                  <c:v>2.1392080998936878E-2</c:v>
                </c:pt>
                <c:pt idx="48">
                  <c:v>2.100860570815774E-2</c:v>
                </c:pt>
                <c:pt idx="49">
                  <c:v>2.0766977743891281E-2</c:v>
                </c:pt>
                <c:pt idx="50">
                  <c:v>2.0657814988396472E-2</c:v>
                </c:pt>
                <c:pt idx="51">
                  <c:v>2.0672128392423841E-2</c:v>
                </c:pt>
                <c:pt idx="52">
                  <c:v>2.0801312224323708E-2</c:v>
                </c:pt>
                <c:pt idx="53">
                  <c:v>2.1037134247937669E-2</c:v>
                </c:pt>
                <c:pt idx="54">
                  <c:v>2.1371725853402586E-2</c:v>
                </c:pt>
                <c:pt idx="55">
                  <c:v>2.1797572163412327E-2</c:v>
                </c:pt>
                <c:pt idx="56">
                  <c:v>2.230750213596417E-2</c:v>
                </c:pt>
                <c:pt idx="57">
                  <c:v>2.2894678683163264E-2</c:v>
                </c:pt>
                <c:pt idx="58">
                  <c:v>2.3552588824266849E-2</c:v>
                </c:pt>
                <c:pt idx="59">
                  <c:v>2.4275033889820344E-2</c:v>
                </c:pt>
                <c:pt idx="60">
                  <c:v>2.5056119792467163E-2</c:v>
                </c:pt>
                <c:pt idx="61">
                  <c:v>2.589024737880085E-2</c:v>
                </c:pt>
                <c:pt idx="62">
                  <c:v>2.6772102875472187E-2</c:v>
                </c:pt>
                <c:pt idx="63">
                  <c:v>2.769664844166185E-2</c:v>
                </c:pt>
                <c:pt idx="64">
                  <c:v>2.8659112838979844E-2</c:v>
                </c:pt>
                <c:pt idx="65">
                  <c:v>2.9654982228855931E-2</c:v>
                </c:pt>
                <c:pt idx="66">
                  <c:v>3.0679991106536089E-2</c:v>
                </c:pt>
                <c:pt idx="67">
                  <c:v>3.173011337990117E-2</c:v>
                </c:pt>
                <c:pt idx="68">
                  <c:v>3.2801553600469303E-2</c:v>
                </c:pt>
                <c:pt idx="69">
                  <c:v>3.3890738353135809E-2</c:v>
                </c:pt>
                <c:pt idx="70">
                  <c:v>3.4994307810438545E-2</c:v>
                </c:pt>
                <c:pt idx="71">
                  <c:v>3.6109107456413367E-2</c:v>
                </c:pt>
                <c:pt idx="72">
                  <c:v>3.7232179984421535E-2</c:v>
                </c:pt>
                <c:pt idx="73">
                  <c:v>3.8360757372686551E-2</c:v>
                </c:pt>
                <c:pt idx="74">
                  <c:v>3.9492253140671105E-2</c:v>
                </c:pt>
                <c:pt idx="75">
                  <c:v>4.0624254788854473E-2</c:v>
                </c:pt>
                <c:pt idx="76">
                  <c:v>4.1754516423934303E-2</c:v>
                </c:pt>
                <c:pt idx="77">
                  <c:v>4.2880951570974407E-2</c:v>
                </c:pt>
                <c:pt idx="78">
                  <c:v>4.400162617354899E-2</c:v>
                </c:pt>
                <c:pt idx="79">
                  <c:v>4.5114751782493766E-2</c:v>
                </c:pt>
                <c:pt idx="80">
                  <c:v>4.621867893346384E-2</c:v>
                </c:pt>
                <c:pt idx="81">
                  <c:v>4.7311890713115354E-2</c:v>
                </c:pt>
                <c:pt idx="82">
                  <c:v>4.8392996513372248E-2</c:v>
                </c:pt>
                <c:pt idx="83">
                  <c:v>4.9460725972910013E-2</c:v>
                </c:pt>
                <c:pt idx="84">
                  <c:v>5.0513923104682182E-2</c:v>
                </c:pt>
                <c:pt idx="85">
                  <c:v>5.1551540608034435E-2</c:v>
                </c:pt>
                <c:pt idx="86">
                  <c:v>5.2572634363691209E-2</c:v>
                </c:pt>
                <c:pt idx="87">
                  <c:v>5.3576358109661819E-2</c:v>
                </c:pt>
                <c:pt idx="88">
                  <c:v>5.4561958295895628E-2</c:v>
                </c:pt>
                <c:pt idx="89">
                  <c:v>5.5528769115317261E-2</c:v>
                </c:pt>
                <c:pt idx="90">
                  <c:v>5.6476207708693174E-2</c:v>
                </c:pt>
                <c:pt idx="91">
                  <c:v>5.7403769540618196E-2</c:v>
                </c:pt>
                <c:pt idx="92">
                  <c:v>5.8311023943765222E-2</c:v>
                </c:pt>
                <c:pt idx="93">
                  <c:v>5.9197609828410637E-2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0D7-468E-BDA4-D27AFD4B68D8}"/>
            </c:ext>
          </c:extLst>
        </c:ser>
        <c:ser>
          <c:idx val="6"/>
          <c:order val="6"/>
          <c:tx>
            <c:strRef>
              <c:f>'Second Order V3'!$H$6</c:f>
              <c:strCache>
                <c:ptCount val="1"/>
                <c:pt idx="0">
                  <c:v>Expected second order response with 10 ms delay (only at begining)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V3'!$H$7:$H$100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0.47841653959318836</c:v>
                </c:pt>
                <c:pt idx="3">
                  <c:v>0.46066743019841644</c:v>
                </c:pt>
                <c:pt idx="4">
                  <c:v>0.4432814664085456</c:v>
                </c:pt>
                <c:pt idx="5">
                  <c:v>0.42626388722580788</c:v>
                </c:pt>
                <c:pt idx="6">
                  <c:v>0.40961918986818058</c:v>
                </c:pt>
                <c:pt idx="7">
                  <c:v>0.39335116001021259</c:v>
                </c:pt>
                <c:pt idx="8">
                  <c:v>0.37746290148824035</c:v>
                </c:pt>
                <c:pt idx="9">
                  <c:v>0.36195686545690359</c:v>
                </c:pt>
                <c:pt idx="10">
                  <c:v>0.34683487898523363</c:v>
                </c:pt>
                <c:pt idx="11">
                  <c:v>0.33209817308189965</c:v>
                </c:pt>
                <c:pt idx="12">
                  <c:v>0.31774741014045932</c:v>
                </c:pt>
                <c:pt idx="13">
                  <c:v>0.30378271079667274</c:v>
                </c:pt>
                <c:pt idx="14">
                  <c:v>0.2902036801910996</c:v>
                </c:pt>
                <c:pt idx="15">
                  <c:v>0.27700943363131969</c:v>
                </c:pt>
                <c:pt idx="16">
                  <c:v>0.2641986216491809</c:v>
                </c:pt>
                <c:pt idx="17">
                  <c:v>0.2517694544495041</c:v>
                </c:pt>
                <c:pt idx="18">
                  <c:v>0.23971972574765182</c:v>
                </c:pt>
                <c:pt idx="19">
                  <c:v>0.22804683599429842</c:v>
                </c:pt>
                <c:pt idx="20">
                  <c:v>0.21674781498663309</c:v>
                </c:pt>
                <c:pt idx="21">
                  <c:v>0.20581934386607109</c:v>
                </c:pt>
                <c:pt idx="22">
                  <c:v>0.19525777650335646</c:v>
                </c:pt>
                <c:pt idx="23">
                  <c:v>0.18505916027270553</c:v>
                </c:pt>
                <c:pt idx="24">
                  <c:v>0.17521925621736401</c:v>
                </c:pt>
                <c:pt idx="25">
                  <c:v>0.16573355860964203</c:v>
                </c:pt>
                <c:pt idx="26">
                  <c:v>0.1565973139091372</c:v>
                </c:pt>
                <c:pt idx="27">
                  <c:v>0.1478055391234723</c:v>
                </c:pt>
                <c:pt idx="28">
                  <c:v>0.13935303957645051</c:v>
                </c:pt>
                <c:pt idx="29">
                  <c:v>0.1312344260890744</c:v>
                </c:pt>
                <c:pt idx="30">
                  <c:v>0.12344413157938411</c:v>
                </c:pt>
                <c:pt idx="31">
                  <c:v>0.11597642708754766</c:v>
                </c:pt>
                <c:pt idx="32">
                  <c:v>0.10882543723308015</c:v>
                </c:pt>
                <c:pt idx="33">
                  <c:v>0.10198515511148398</c:v>
                </c:pt>
                <c:pt idx="34">
                  <c:v>9.5449456637985555E-2</c:v>
                </c:pt>
                <c:pt idx="35">
                  <c:v>8.9212114346399918E-2</c:v>
                </c:pt>
                <c:pt idx="36">
                  <c:v>8.3266810651482573E-2</c:v>
                </c:pt>
                <c:pt idx="37">
                  <c:v>7.7607150583427612E-2</c:v>
                </c:pt>
                <c:pt idx="38">
                  <c:v>7.2226674003446234E-2</c:v>
                </c:pt>
                <c:pt idx="39">
                  <c:v>6.7118867309608934E-2</c:v>
                </c:pt>
                <c:pt idx="40">
                  <c:v>6.2277174642359337E-2</c:v>
                </c:pt>
                <c:pt idx="41">
                  <c:v>5.7695008599309525E-2</c:v>
                </c:pt>
                <c:pt idx="42">
                  <c:v>5.3365760469106099E-2</c:v>
                </c:pt>
                <c:pt idx="43">
                  <c:v>4.9282809994312712E-2</c:v>
                </c:pt>
                <c:pt idx="44">
                  <c:v>4.5439534673392297E-2</c:v>
                </c:pt>
                <c:pt idx="45">
                  <c:v>4.1829318611988554E-2</c:v>
                </c:pt>
                <c:pt idx="46">
                  <c:v>3.844556093380383E-2</c:v>
                </c:pt>
                <c:pt idx="47">
                  <c:v>3.5281683761449308E-2</c:v>
                </c:pt>
                <c:pt idx="48">
                  <c:v>3.2331139777705756E-2</c:v>
                </c:pt>
                <c:pt idx="49">
                  <c:v>2.9587419377676921E-2</c:v>
                </c:pt>
                <c:pt idx="50">
                  <c:v>2.7044057422347466E-2</c:v>
                </c:pt>
                <c:pt idx="51">
                  <c:v>2.4694639604070208E-2</c:v>
                </c:pt>
                <c:pt idx="52">
                  <c:v>2.2532808434506037E-2</c:v>
                </c:pt>
                <c:pt idx="53">
                  <c:v>2.0552268865526545E-2</c:v>
                </c:pt>
                <c:pt idx="54">
                  <c:v>1.8746793553559113E-2</c:v>
                </c:pt>
                <c:pt idx="55">
                  <c:v>1.7110227777815776E-2</c:v>
                </c:pt>
                <c:pt idx="56">
                  <c:v>1.5636494022793559E-2</c:v>
                </c:pt>
                <c:pt idx="57">
                  <c:v>1.431959623537131E-2</c:v>
                </c:pt>
                <c:pt idx="58">
                  <c:v>1.315362376675322E-2</c:v>
                </c:pt>
                <c:pt idx="59">
                  <c:v>1.2132755009426205E-2</c:v>
                </c:pt>
                <c:pt idx="60">
                  <c:v>1.1251260739204516E-2</c:v>
                </c:pt>
                <c:pt idx="61">
                  <c:v>1.0503507172332921E-2</c:v>
                </c:pt>
                <c:pt idx="62">
                  <c:v>9.883958747510177E-3</c:v>
                </c:pt>
                <c:pt idx="63">
                  <c:v>9.3871806425756404E-3</c:v>
                </c:pt>
                <c:pt idx="64">
                  <c:v>9.0078410354783034E-3</c:v>
                </c:pt>
                <c:pt idx="65">
                  <c:v>8.740713119014476E-3</c:v>
                </c:pt>
                <c:pt idx="66">
                  <c:v>8.5806768786841903E-3</c:v>
                </c:pt>
                <c:pt idx="67">
                  <c:v>8.5227206428717256E-3</c:v>
                </c:pt>
                <c:pt idx="68">
                  <c:v>8.5619424144083855E-3</c:v>
                </c:pt>
                <c:pt idx="69">
                  <c:v>8.693550992421431E-3</c:v>
                </c:pt>
                <c:pt idx="70">
                  <c:v>8.9128668932168253E-3</c:v>
                </c:pt>
                <c:pt idx="71">
                  <c:v>9.2153230787806323E-3</c:v>
                </c:pt>
                <c:pt idx="72">
                  <c:v>9.5964655013208444E-3</c:v>
                </c:pt>
                <c:pt idx="73">
                  <c:v>1.0051953472101888E-2</c:v>
                </c:pt>
                <c:pt idx="74">
                  <c:v>1.0577559862654837E-2</c:v>
                </c:pt>
                <c:pt idx="75">
                  <c:v>1.1169171146272583E-2</c:v>
                </c:pt>
                <c:pt idx="76">
                  <c:v>1.1822787287524547E-2</c:v>
                </c:pt>
                <c:pt idx="77">
                  <c:v>1.2534521487349196E-2</c:v>
                </c:pt>
                <c:pt idx="78">
                  <c:v>1.3300599791104289E-2</c:v>
                </c:pt>
                <c:pt idx="79">
                  <c:v>1.4117360566775608E-2</c:v>
                </c:pt>
                <c:pt idx="80">
                  <c:v>1.4981253860365806E-2</c:v>
                </c:pt>
                <c:pt idx="81">
                  <c:v>1.5888840635303977E-2</c:v>
                </c:pt>
                <c:pt idx="82">
                  <c:v>1.6836791902536688E-2</c:v>
                </c:pt>
                <c:pt idx="83">
                  <c:v>1.7821887747779541E-2</c:v>
                </c:pt>
                <c:pt idx="84">
                  <c:v>1.884101626222974E-2</c:v>
                </c:pt>
                <c:pt idx="85">
                  <c:v>1.9891172382858972E-2</c:v>
                </c:pt>
                <c:pt idx="86">
                  <c:v>2.0969456648227115E-2</c:v>
                </c:pt>
                <c:pt idx="87">
                  <c:v>2.2073073875579483E-2</c:v>
                </c:pt>
                <c:pt idx="88">
                  <c:v>2.3199331764812973E-2</c:v>
                </c:pt>
                <c:pt idx="89">
                  <c:v>2.4345639434720186E-2</c:v>
                </c:pt>
                <c:pt idx="90">
                  <c:v>2.5509505896747046E-2</c:v>
                </c:pt>
                <c:pt idx="91">
                  <c:v>2.6688538471325463E-2</c:v>
                </c:pt>
                <c:pt idx="92">
                  <c:v>2.7880441151672875E-2</c:v>
                </c:pt>
                <c:pt idx="93">
                  <c:v>2.9083012919780014E-2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0D7-468E-BDA4-D27AFD4B68D8}"/>
            </c:ext>
          </c:extLst>
        </c:ser>
        <c:ser>
          <c:idx val="7"/>
          <c:order val="7"/>
          <c:tx>
            <c:strRef>
              <c:f>'Second Order V3'!$I$6</c:f>
              <c:strCache>
                <c:ptCount val="1"/>
                <c:pt idx="0">
                  <c:v>Expected second order response with margin up and with 10 ms delay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V3'!$I$7:$I$100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0.67762480938978242</c:v>
                </c:pt>
                <c:pt idx="3">
                  <c:v>0.65100114529762465</c:v>
                </c:pt>
                <c:pt idx="4">
                  <c:v>0.62492219961281836</c:v>
                </c:pt>
                <c:pt idx="5">
                  <c:v>0.59939583083871173</c:v>
                </c:pt>
                <c:pt idx="6">
                  <c:v>0.57442878480227089</c:v>
                </c:pt>
                <c:pt idx="7">
                  <c:v>0.55002674001531893</c:v>
                </c:pt>
                <c:pt idx="8">
                  <c:v>0.52619435223236055</c:v>
                </c:pt>
                <c:pt idx="9">
                  <c:v>0.50293529818535543</c:v>
                </c:pt>
                <c:pt idx="10">
                  <c:v>0.48025231847785044</c:v>
                </c:pt>
                <c:pt idx="11">
                  <c:v>0.45814725962284941</c:v>
                </c:pt>
                <c:pt idx="12">
                  <c:v>0.43662111521068903</c:v>
                </c:pt>
                <c:pt idx="13">
                  <c:v>0.41567406619500918</c:v>
                </c:pt>
                <c:pt idx="14">
                  <c:v>0.39530552028664939</c:v>
                </c:pt>
                <c:pt idx="15">
                  <c:v>0.37551415044697956</c:v>
                </c:pt>
                <c:pt idx="16">
                  <c:v>0.35629793247377134</c:v>
                </c:pt>
                <c:pt idx="17">
                  <c:v>0.33765418167425615</c:v>
                </c:pt>
                <c:pt idx="18">
                  <c:v>0.31957958862147773</c:v>
                </c:pt>
                <c:pt idx="19">
                  <c:v>0.3020702539914476</c:v>
                </c:pt>
                <c:pt idx="20">
                  <c:v>0.28512172247994971</c:v>
                </c:pt>
                <c:pt idx="21">
                  <c:v>0.26872901579910663</c:v>
                </c:pt>
                <c:pt idx="22">
                  <c:v>0.25288666475503468</c:v>
                </c:pt>
                <c:pt idx="23">
                  <c:v>0.23758874040905825</c:v>
                </c:pt>
                <c:pt idx="24">
                  <c:v>0.22282888432604603</c:v>
                </c:pt>
                <c:pt idx="25">
                  <c:v>0.20860033791446303</c:v>
                </c:pt>
                <c:pt idx="26">
                  <c:v>0.19489597086370578</c:v>
                </c:pt>
                <c:pt idx="27">
                  <c:v>0.18170830868520846</c:v>
                </c:pt>
                <c:pt idx="28">
                  <c:v>0.16902955936467576</c:v>
                </c:pt>
                <c:pt idx="29">
                  <c:v>0.15685163913361158</c:v>
                </c:pt>
                <c:pt idx="30">
                  <c:v>0.14516619736907618</c:v>
                </c:pt>
                <c:pt idx="31">
                  <c:v>0.13396464063132152</c:v>
                </c:pt>
                <c:pt idx="32">
                  <c:v>0.12323815584962022</c:v>
                </c:pt>
                <c:pt idx="33">
                  <c:v>0.11297773266722597</c:v>
                </c:pt>
                <c:pt idx="34">
                  <c:v>0.10317418495697833</c:v>
                </c:pt>
                <c:pt idx="35">
                  <c:v>9.3818171519599883E-2</c:v>
                </c:pt>
                <c:pt idx="36">
                  <c:v>8.4900215977223858E-2</c:v>
                </c:pt>
                <c:pt idx="37">
                  <c:v>7.6410725875141416E-2</c:v>
                </c:pt>
                <c:pt idx="38">
                  <c:v>6.8340011005169357E-2</c:v>
                </c:pt>
                <c:pt idx="39">
                  <c:v>6.0678300964413394E-2</c:v>
                </c:pt>
                <c:pt idx="40">
                  <c:v>5.3415761963538991E-2</c:v>
                </c:pt>
                <c:pt idx="41">
                  <c:v>4.6542512898964286E-2</c:v>
                </c:pt>
                <c:pt idx="42">
                  <c:v>4.0048640703659155E-2</c:v>
                </c:pt>
                <c:pt idx="43">
                  <c:v>3.3924214991469075E-2</c:v>
                </c:pt>
                <c:pt idx="44">
                  <c:v>2.8159302010088434E-2</c:v>
                </c:pt>
                <c:pt idx="45">
                  <c:v>2.2743977917982834E-2</c:v>
                </c:pt>
                <c:pt idx="46">
                  <c:v>1.7668341400705737E-2</c:v>
                </c:pt>
                <c:pt idx="47">
                  <c:v>1.2922525642173971E-2</c:v>
                </c:pt>
                <c:pt idx="48">
                  <c:v>8.4967096665586189E-3</c:v>
                </c:pt>
                <c:pt idx="49">
                  <c:v>4.381129066515374E-3</c:v>
                </c:pt>
                <c:pt idx="50">
                  <c:v>5.6608613352120141E-4</c:v>
                </c:pt>
                <c:pt idx="51">
                  <c:v>-2.9580405938946924E-3</c:v>
                </c:pt>
                <c:pt idx="52">
                  <c:v>-6.2007873482409354E-3</c:v>
                </c:pt>
                <c:pt idx="53">
                  <c:v>-9.171596701710194E-3</c:v>
                </c:pt>
                <c:pt idx="54">
                  <c:v>-1.1879809669661331E-2</c:v>
                </c:pt>
                <c:pt idx="55">
                  <c:v>-1.4334658333276323E-2</c:v>
                </c:pt>
                <c:pt idx="56">
                  <c:v>-1.6545258965809675E-2</c:v>
                </c:pt>
                <c:pt idx="57">
                  <c:v>-1.8520605646943036E-2</c:v>
                </c:pt>
                <c:pt idx="58">
                  <c:v>-2.0269564349870164E-2</c:v>
                </c:pt>
                <c:pt idx="59">
                  <c:v>-2.18008674858607E-2</c:v>
                </c:pt>
                <c:pt idx="60">
                  <c:v>-2.3123108891193234E-2</c:v>
                </c:pt>
                <c:pt idx="61">
                  <c:v>-2.4244739241500626E-2</c:v>
                </c:pt>
                <c:pt idx="62">
                  <c:v>-2.5174061878734763E-2</c:v>
                </c:pt>
                <c:pt idx="63">
                  <c:v>-2.5919229036136526E-2</c:v>
                </c:pt>
                <c:pt idx="64">
                  <c:v>-2.6488238446782525E-2</c:v>
                </c:pt>
                <c:pt idx="65">
                  <c:v>-2.688893032147828E-2</c:v>
                </c:pt>
                <c:pt idx="66">
                  <c:v>-2.7128984681973708E-2</c:v>
                </c:pt>
                <c:pt idx="67">
                  <c:v>-2.7215919035692412E-2</c:v>
                </c:pt>
                <c:pt idx="68">
                  <c:v>-2.7157086378387429E-2</c:v>
                </c:pt>
                <c:pt idx="69">
                  <c:v>-2.6959673511367854E-2</c:v>
                </c:pt>
                <c:pt idx="70">
                  <c:v>-2.663069966017477E-2</c:v>
                </c:pt>
                <c:pt idx="71">
                  <c:v>-2.6177015381829039E-2</c:v>
                </c:pt>
                <c:pt idx="72">
                  <c:v>-2.5605301748018741E-2</c:v>
                </c:pt>
                <c:pt idx="73">
                  <c:v>-2.4922069791847176E-2</c:v>
                </c:pt>
                <c:pt idx="74">
                  <c:v>-2.4133660206017746E-2</c:v>
                </c:pt>
                <c:pt idx="75">
                  <c:v>-2.3246243280591106E-2</c:v>
                </c:pt>
                <c:pt idx="76">
                  <c:v>-2.2265819068713194E-2</c:v>
                </c:pt>
                <c:pt idx="77">
                  <c:v>-2.1198217768976221E-2</c:v>
                </c:pt>
                <c:pt idx="78">
                  <c:v>-2.004910031334356E-2</c:v>
                </c:pt>
                <c:pt idx="79">
                  <c:v>-1.8823959149836589E-2</c:v>
                </c:pt>
                <c:pt idx="80">
                  <c:v>-1.7528119209451298E-2</c:v>
                </c:pt>
                <c:pt idx="81">
                  <c:v>-1.6166739047044035E-2</c:v>
                </c:pt>
                <c:pt idx="82">
                  <c:v>-1.4744812146194969E-2</c:v>
                </c:pt>
                <c:pt idx="83">
                  <c:v>-1.3267168378330682E-2</c:v>
                </c:pt>
                <c:pt idx="84">
                  <c:v>-1.1738475606655377E-2</c:v>
                </c:pt>
                <c:pt idx="85">
                  <c:v>-1.0163241425711539E-2</c:v>
                </c:pt>
                <c:pt idx="86">
                  <c:v>-8.5458150276593176E-3</c:v>
                </c:pt>
                <c:pt idx="87">
                  <c:v>-6.8903891866307909E-3</c:v>
                </c:pt>
                <c:pt idx="88">
                  <c:v>-5.201002352780551E-3</c:v>
                </c:pt>
                <c:pt idx="89">
                  <c:v>-3.4815408479197119E-3</c:v>
                </c:pt>
                <c:pt idx="90">
                  <c:v>-1.7357411548794138E-3</c:v>
                </c:pt>
                <c:pt idx="91">
                  <c:v>3.2807706988199903E-5</c:v>
                </c:pt>
                <c:pt idx="92">
                  <c:v>1.820661727509304E-3</c:v>
                </c:pt>
                <c:pt idx="93">
                  <c:v>3.6245193796700104E-3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0D7-468E-BDA4-D27AFD4B68D8}"/>
            </c:ext>
          </c:extLst>
        </c:ser>
        <c:ser>
          <c:idx val="8"/>
          <c:order val="8"/>
          <c:tx>
            <c:strRef>
              <c:f>'Second Order V3'!$J$6</c:f>
              <c:strCache>
                <c:ptCount val="1"/>
                <c:pt idx="0">
                  <c:v>Expected second order response with margin (high) NO delay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V3'!$J$7:$J$100</c:f>
              <c:numCache>
                <c:formatCode>General</c:formatCode>
                <c:ptCount val="94"/>
                <c:pt idx="0">
                  <c:v>0.67762480938978242</c:v>
                </c:pt>
                <c:pt idx="1">
                  <c:v>0.65100114529762465</c:v>
                </c:pt>
                <c:pt idx="2">
                  <c:v>0.62492219961281836</c:v>
                </c:pt>
                <c:pt idx="3">
                  <c:v>0.59939583083871173</c:v>
                </c:pt>
                <c:pt idx="4">
                  <c:v>0.57442878480227089</c:v>
                </c:pt>
                <c:pt idx="5">
                  <c:v>0.55002674001531893</c:v>
                </c:pt>
                <c:pt idx="6">
                  <c:v>0.52619435223236055</c:v>
                </c:pt>
                <c:pt idx="7">
                  <c:v>0.50293529818535543</c:v>
                </c:pt>
                <c:pt idx="8">
                  <c:v>0.48025231847785044</c:v>
                </c:pt>
                <c:pt idx="9">
                  <c:v>0.45814725962284941</c:v>
                </c:pt>
                <c:pt idx="10">
                  <c:v>0.43662111521068903</c:v>
                </c:pt>
                <c:pt idx="11">
                  <c:v>0.41567406619500918</c:v>
                </c:pt>
                <c:pt idx="12">
                  <c:v>0.39530552028664939</c:v>
                </c:pt>
                <c:pt idx="13">
                  <c:v>0.37551415044697956</c:v>
                </c:pt>
                <c:pt idx="14">
                  <c:v>0.35629793247377134</c:v>
                </c:pt>
                <c:pt idx="15">
                  <c:v>0.33765418167425615</c:v>
                </c:pt>
                <c:pt idx="16">
                  <c:v>0.31957958862147773</c:v>
                </c:pt>
                <c:pt idx="17">
                  <c:v>0.3020702539914476</c:v>
                </c:pt>
                <c:pt idx="18">
                  <c:v>0.28512172247994971</c:v>
                </c:pt>
                <c:pt idx="19">
                  <c:v>0.26872901579910663</c:v>
                </c:pt>
                <c:pt idx="20">
                  <c:v>0.25288666475503468</c:v>
                </c:pt>
                <c:pt idx="21">
                  <c:v>0.23758874040905825</c:v>
                </c:pt>
                <c:pt idx="22">
                  <c:v>0.22282888432604603</c:v>
                </c:pt>
                <c:pt idx="23">
                  <c:v>0.20860033791446303</c:v>
                </c:pt>
                <c:pt idx="24">
                  <c:v>0.19489597086370578</c:v>
                </c:pt>
                <c:pt idx="25">
                  <c:v>0.18170830868520846</c:v>
                </c:pt>
                <c:pt idx="26">
                  <c:v>0.16902955936467576</c:v>
                </c:pt>
                <c:pt idx="27">
                  <c:v>0.15685163913361158</c:v>
                </c:pt>
                <c:pt idx="28">
                  <c:v>0.14516619736907618</c:v>
                </c:pt>
                <c:pt idx="29">
                  <c:v>0.13396464063132152</c:v>
                </c:pt>
                <c:pt idx="30">
                  <c:v>0.12323815584962022</c:v>
                </c:pt>
                <c:pt idx="31">
                  <c:v>0.11297773266722597</c:v>
                </c:pt>
                <c:pt idx="32">
                  <c:v>0.10317418495697833</c:v>
                </c:pt>
                <c:pt idx="33">
                  <c:v>9.3818171519599883E-2</c:v>
                </c:pt>
                <c:pt idx="34">
                  <c:v>8.4900215977223858E-2</c:v>
                </c:pt>
                <c:pt idx="35">
                  <c:v>7.6410725875141416E-2</c:v>
                </c:pt>
                <c:pt idx="36">
                  <c:v>6.8340011005169357E-2</c:v>
                </c:pt>
                <c:pt idx="37">
                  <c:v>6.0678300964413394E-2</c:v>
                </c:pt>
                <c:pt idx="38">
                  <c:v>5.3415761963538991E-2</c:v>
                </c:pt>
                <c:pt idx="39">
                  <c:v>4.6542512898964286E-2</c:v>
                </c:pt>
                <c:pt idx="40">
                  <c:v>4.0048640703659155E-2</c:v>
                </c:pt>
                <c:pt idx="41">
                  <c:v>3.3924214991469075E-2</c:v>
                </c:pt>
                <c:pt idx="42">
                  <c:v>2.8159302010088434E-2</c:v>
                </c:pt>
                <c:pt idx="43">
                  <c:v>2.2743977917982834E-2</c:v>
                </c:pt>
                <c:pt idx="44">
                  <c:v>1.7668341400705737E-2</c:v>
                </c:pt>
                <c:pt idx="45">
                  <c:v>1.2922525642173971E-2</c:v>
                </c:pt>
                <c:pt idx="46">
                  <c:v>8.4967096665586189E-3</c:v>
                </c:pt>
                <c:pt idx="47">
                  <c:v>4.381129066515374E-3</c:v>
                </c:pt>
                <c:pt idx="48">
                  <c:v>5.6608613352120141E-4</c:v>
                </c:pt>
                <c:pt idx="49">
                  <c:v>-2.9580405938946924E-3</c:v>
                </c:pt>
                <c:pt idx="50">
                  <c:v>-6.2007873482409354E-3</c:v>
                </c:pt>
                <c:pt idx="51">
                  <c:v>-9.171596701710194E-3</c:v>
                </c:pt>
                <c:pt idx="52">
                  <c:v>-1.1879809669661331E-2</c:v>
                </c:pt>
                <c:pt idx="53">
                  <c:v>-1.4334658333276323E-2</c:v>
                </c:pt>
                <c:pt idx="54">
                  <c:v>-1.6545258965809675E-2</c:v>
                </c:pt>
                <c:pt idx="55">
                  <c:v>-1.8520605646943036E-2</c:v>
                </c:pt>
                <c:pt idx="56">
                  <c:v>-2.0269564349870164E-2</c:v>
                </c:pt>
                <c:pt idx="57">
                  <c:v>-2.18008674858607E-2</c:v>
                </c:pt>
                <c:pt idx="58">
                  <c:v>-2.3123108891193234E-2</c:v>
                </c:pt>
                <c:pt idx="59">
                  <c:v>-2.4244739241500626E-2</c:v>
                </c:pt>
                <c:pt idx="60">
                  <c:v>-2.5174061878734763E-2</c:v>
                </c:pt>
                <c:pt idx="61">
                  <c:v>-2.5919229036136526E-2</c:v>
                </c:pt>
                <c:pt idx="62">
                  <c:v>-2.6488238446782525E-2</c:v>
                </c:pt>
                <c:pt idx="63">
                  <c:v>-2.688893032147828E-2</c:v>
                </c:pt>
                <c:pt idx="64">
                  <c:v>-2.7128984681973708E-2</c:v>
                </c:pt>
                <c:pt idx="65">
                  <c:v>-2.7215919035692412E-2</c:v>
                </c:pt>
                <c:pt idx="66">
                  <c:v>-2.7157086378387429E-2</c:v>
                </c:pt>
                <c:pt idx="67">
                  <c:v>-2.6959673511367854E-2</c:v>
                </c:pt>
                <c:pt idx="68">
                  <c:v>-2.663069966017477E-2</c:v>
                </c:pt>
                <c:pt idx="69">
                  <c:v>-2.6177015381829039E-2</c:v>
                </c:pt>
                <c:pt idx="70">
                  <c:v>-2.5605301748018741E-2</c:v>
                </c:pt>
                <c:pt idx="71">
                  <c:v>-2.4922069791847176E-2</c:v>
                </c:pt>
                <c:pt idx="72">
                  <c:v>-2.4133660206017746E-2</c:v>
                </c:pt>
                <c:pt idx="73">
                  <c:v>-2.3246243280591106E-2</c:v>
                </c:pt>
                <c:pt idx="74">
                  <c:v>-2.2265819068713194E-2</c:v>
                </c:pt>
                <c:pt idx="75">
                  <c:v>-2.1198217768976221E-2</c:v>
                </c:pt>
                <c:pt idx="76">
                  <c:v>-2.004910031334356E-2</c:v>
                </c:pt>
                <c:pt idx="77">
                  <c:v>-1.8823959149836589E-2</c:v>
                </c:pt>
                <c:pt idx="78">
                  <c:v>-1.7528119209451298E-2</c:v>
                </c:pt>
                <c:pt idx="79">
                  <c:v>-1.6166739047044035E-2</c:v>
                </c:pt>
                <c:pt idx="80">
                  <c:v>-1.4744812146194969E-2</c:v>
                </c:pt>
                <c:pt idx="81">
                  <c:v>-1.3267168378330682E-2</c:v>
                </c:pt>
                <c:pt idx="82">
                  <c:v>-1.1738475606655377E-2</c:v>
                </c:pt>
                <c:pt idx="83">
                  <c:v>-1.0163241425711539E-2</c:v>
                </c:pt>
                <c:pt idx="84">
                  <c:v>-8.5458150276593176E-3</c:v>
                </c:pt>
                <c:pt idx="85">
                  <c:v>-6.8903891866307909E-3</c:v>
                </c:pt>
                <c:pt idx="86">
                  <c:v>-5.201002352780551E-3</c:v>
                </c:pt>
                <c:pt idx="87">
                  <c:v>-3.4815408479197119E-3</c:v>
                </c:pt>
                <c:pt idx="88">
                  <c:v>-1.7357411548794138E-3</c:v>
                </c:pt>
                <c:pt idx="89">
                  <c:v>3.2807706988199903E-5</c:v>
                </c:pt>
                <c:pt idx="90">
                  <c:v>1.820661727509304E-3</c:v>
                </c:pt>
                <c:pt idx="91">
                  <c:v>3.6245193796700104E-3</c:v>
                </c:pt>
                <c:pt idx="92">
                  <c:v>5.4412190287129458E-3</c:v>
                </c:pt>
                <c:pt idx="93">
                  <c:v>7.2677362829326048E-3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0D7-468E-BDA4-D27AFD4B68D8}"/>
            </c:ext>
          </c:extLst>
        </c:ser>
        <c:ser>
          <c:idx val="9"/>
          <c:order val="9"/>
          <c:tx>
            <c:strRef>
              <c:f>'Second Order V3'!$K$6</c:f>
              <c:strCache>
                <c:ptCount val="1"/>
                <c:pt idx="0">
                  <c:v>Expected second order response with margin (high) -tunnel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V3'!$K$7:$K$100</c:f>
              <c:numCache>
                <c:formatCode>General</c:formatCode>
                <c:ptCount val="94"/>
                <c:pt idx="0">
                  <c:v>0.72762480938978247</c:v>
                </c:pt>
                <c:pt idx="1">
                  <c:v>0.70100114529762469</c:v>
                </c:pt>
                <c:pt idx="2">
                  <c:v>0.67492219961281841</c:v>
                </c:pt>
                <c:pt idx="3">
                  <c:v>0.64939583083871177</c:v>
                </c:pt>
                <c:pt idx="4">
                  <c:v>0.62442878480227093</c:v>
                </c:pt>
                <c:pt idx="5">
                  <c:v>0.60002674001531897</c:v>
                </c:pt>
                <c:pt idx="6">
                  <c:v>0.5761943522323606</c:v>
                </c:pt>
                <c:pt idx="7">
                  <c:v>0.55293529818535547</c:v>
                </c:pt>
                <c:pt idx="8">
                  <c:v>0.53025231847785048</c:v>
                </c:pt>
                <c:pt idx="9">
                  <c:v>0.50814725962284946</c:v>
                </c:pt>
                <c:pt idx="10">
                  <c:v>0.48662111521068901</c:v>
                </c:pt>
                <c:pt idx="11">
                  <c:v>0.46567406619500917</c:v>
                </c:pt>
                <c:pt idx="12">
                  <c:v>0.44530552028664938</c:v>
                </c:pt>
                <c:pt idx="13">
                  <c:v>0.42551415044697954</c:v>
                </c:pt>
                <c:pt idx="14">
                  <c:v>0.40629793247377133</c:v>
                </c:pt>
                <c:pt idx="15">
                  <c:v>0.38765418167425614</c:v>
                </c:pt>
                <c:pt idx="16">
                  <c:v>0.36957958862147772</c:v>
                </c:pt>
                <c:pt idx="17">
                  <c:v>0.35207025399144759</c:v>
                </c:pt>
                <c:pt idx="18">
                  <c:v>0.3351217224799497</c:v>
                </c:pt>
                <c:pt idx="19">
                  <c:v>0.31872901579910662</c:v>
                </c:pt>
                <c:pt idx="20">
                  <c:v>0.30288666475503467</c:v>
                </c:pt>
                <c:pt idx="21">
                  <c:v>0.28758874040905824</c:v>
                </c:pt>
                <c:pt idx="22">
                  <c:v>0.27282888432604602</c:v>
                </c:pt>
                <c:pt idx="23">
                  <c:v>0.25860033791446302</c:v>
                </c:pt>
                <c:pt idx="24">
                  <c:v>0.24489597086370579</c:v>
                </c:pt>
                <c:pt idx="25">
                  <c:v>0.23170830868520848</c:v>
                </c:pt>
                <c:pt idx="26">
                  <c:v>0.21902955936467577</c:v>
                </c:pt>
                <c:pt idx="27">
                  <c:v>0.2068516391336116</c:v>
                </c:pt>
                <c:pt idx="28">
                  <c:v>0.1951661973690762</c:v>
                </c:pt>
                <c:pt idx="29">
                  <c:v>0.18396464063132151</c:v>
                </c:pt>
                <c:pt idx="30">
                  <c:v>0.17323815584962021</c:v>
                </c:pt>
                <c:pt idx="31">
                  <c:v>0.16297773266722598</c:v>
                </c:pt>
                <c:pt idx="32">
                  <c:v>0.15317418495697832</c:v>
                </c:pt>
                <c:pt idx="33">
                  <c:v>0.14381817151959989</c:v>
                </c:pt>
                <c:pt idx="34">
                  <c:v>0.13490021597722385</c:v>
                </c:pt>
                <c:pt idx="35">
                  <c:v>0.12641072587514141</c:v>
                </c:pt>
                <c:pt idx="36">
                  <c:v>0.11834001100516936</c:v>
                </c:pt>
                <c:pt idx="37">
                  <c:v>0.11067830096441339</c:v>
                </c:pt>
                <c:pt idx="38">
                  <c:v>0.10341576196353899</c:v>
                </c:pt>
                <c:pt idx="39">
                  <c:v>9.6542512898964289E-2</c:v>
                </c:pt>
                <c:pt idx="40">
                  <c:v>9.0048640703659158E-2</c:v>
                </c:pt>
                <c:pt idx="41">
                  <c:v>8.392421499146907E-2</c:v>
                </c:pt>
                <c:pt idx="42">
                  <c:v>7.8159302010088444E-2</c:v>
                </c:pt>
                <c:pt idx="43">
                  <c:v>7.2743977917982844E-2</c:v>
                </c:pt>
                <c:pt idx="44">
                  <c:v>6.7668341400705739E-2</c:v>
                </c:pt>
                <c:pt idx="45">
                  <c:v>6.2922525642173974E-2</c:v>
                </c:pt>
                <c:pt idx="46">
                  <c:v>5.8496709666558622E-2</c:v>
                </c:pt>
                <c:pt idx="47">
                  <c:v>5.4381129066515377E-2</c:v>
                </c:pt>
                <c:pt idx="48">
                  <c:v>5.0566086133521204E-2</c:v>
                </c:pt>
                <c:pt idx="49">
                  <c:v>4.704195940610531E-2</c:v>
                </c:pt>
                <c:pt idx="50">
                  <c:v>4.3799212651759067E-2</c:v>
                </c:pt>
                <c:pt idx="51">
                  <c:v>4.0828403298289809E-2</c:v>
                </c:pt>
                <c:pt idx="52">
                  <c:v>3.8120190330338671E-2</c:v>
                </c:pt>
                <c:pt idx="53">
                  <c:v>3.5665341666723679E-2</c:v>
                </c:pt>
                <c:pt idx="54">
                  <c:v>3.3454741034190327E-2</c:v>
                </c:pt>
                <c:pt idx="55">
                  <c:v>3.1479394353056966E-2</c:v>
                </c:pt>
                <c:pt idx="56">
                  <c:v>2.9730435650129838E-2</c:v>
                </c:pt>
                <c:pt idx="57">
                  <c:v>2.8199132514139302E-2</c:v>
                </c:pt>
                <c:pt idx="58">
                  <c:v>2.6876891108806769E-2</c:v>
                </c:pt>
                <c:pt idx="59">
                  <c:v>2.5755260758499376E-2</c:v>
                </c:pt>
                <c:pt idx="60">
                  <c:v>2.482593812126524E-2</c:v>
                </c:pt>
                <c:pt idx="61">
                  <c:v>2.4080770963863476E-2</c:v>
                </c:pt>
                <c:pt idx="62">
                  <c:v>2.3511761553217478E-2</c:v>
                </c:pt>
                <c:pt idx="63">
                  <c:v>2.3111069678521723E-2</c:v>
                </c:pt>
                <c:pt idx="64">
                  <c:v>2.2871015318026294E-2</c:v>
                </c:pt>
                <c:pt idx="65">
                  <c:v>2.278408096430759E-2</c:v>
                </c:pt>
                <c:pt idx="66">
                  <c:v>2.2842913621612573E-2</c:v>
                </c:pt>
                <c:pt idx="67">
                  <c:v>2.3040326488632148E-2</c:v>
                </c:pt>
                <c:pt idx="68">
                  <c:v>2.3369300339825233E-2</c:v>
                </c:pt>
                <c:pt idx="69">
                  <c:v>2.3822984618170964E-2</c:v>
                </c:pt>
                <c:pt idx="70">
                  <c:v>2.4394698251981262E-2</c:v>
                </c:pt>
                <c:pt idx="71">
                  <c:v>2.5077930208152827E-2</c:v>
                </c:pt>
                <c:pt idx="72">
                  <c:v>2.5866339793982257E-2</c:v>
                </c:pt>
                <c:pt idx="73">
                  <c:v>2.6753756719408897E-2</c:v>
                </c:pt>
                <c:pt idx="74">
                  <c:v>2.7734180931286809E-2</c:v>
                </c:pt>
                <c:pt idx="75">
                  <c:v>2.8801782231023781E-2</c:v>
                </c:pt>
                <c:pt idx="76">
                  <c:v>2.9950899686656443E-2</c:v>
                </c:pt>
                <c:pt idx="77">
                  <c:v>3.1176040850163414E-2</c:v>
                </c:pt>
                <c:pt idx="78">
                  <c:v>3.2471880790548704E-2</c:v>
                </c:pt>
                <c:pt idx="79">
                  <c:v>3.3833260952955968E-2</c:v>
                </c:pt>
                <c:pt idx="80">
                  <c:v>3.5255187853805034E-2</c:v>
                </c:pt>
                <c:pt idx="81">
                  <c:v>3.6732831621669321E-2</c:v>
                </c:pt>
                <c:pt idx="82">
                  <c:v>3.8261524393344626E-2</c:v>
                </c:pt>
                <c:pt idx="83">
                  <c:v>3.9836758574288464E-2</c:v>
                </c:pt>
                <c:pt idx="84">
                  <c:v>4.1454184972340685E-2</c:v>
                </c:pt>
                <c:pt idx="85">
                  <c:v>4.3109610813369212E-2</c:v>
                </c:pt>
                <c:pt idx="86">
                  <c:v>4.4798997647219452E-2</c:v>
                </c:pt>
                <c:pt idx="87">
                  <c:v>4.6518459152080291E-2</c:v>
                </c:pt>
                <c:pt idx="88">
                  <c:v>4.8264258845120589E-2</c:v>
                </c:pt>
                <c:pt idx="89">
                  <c:v>5.0032807706988203E-2</c:v>
                </c:pt>
                <c:pt idx="90">
                  <c:v>5.1820661727509307E-2</c:v>
                </c:pt>
                <c:pt idx="91">
                  <c:v>5.3624519379670013E-2</c:v>
                </c:pt>
                <c:pt idx="92">
                  <c:v>5.5441219028712949E-2</c:v>
                </c:pt>
                <c:pt idx="93">
                  <c:v>5.7267736282932608E-2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0D7-468E-BDA4-D27AFD4B68D8}"/>
            </c:ext>
          </c:extLst>
        </c:ser>
        <c:ser>
          <c:idx val="10"/>
          <c:order val="10"/>
          <c:tx>
            <c:strRef>
              <c:f>'Second Order V3'!$L$6</c:f>
              <c:strCache>
                <c:ptCount val="1"/>
                <c:pt idx="0">
                  <c:v>Expected second order response with margin (high)+tunnel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V3'!$L$7:$L$100</c:f>
              <c:numCache>
                <c:formatCode>General</c:formatCode>
                <c:ptCount val="94"/>
                <c:pt idx="0">
                  <c:v>0.62762480938978238</c:v>
                </c:pt>
                <c:pt idx="1">
                  <c:v>0.60100114529762461</c:v>
                </c:pt>
                <c:pt idx="2">
                  <c:v>0.57492219961281832</c:v>
                </c:pt>
                <c:pt idx="3">
                  <c:v>0.54939583083871169</c:v>
                </c:pt>
                <c:pt idx="4">
                  <c:v>0.52442878480227084</c:v>
                </c:pt>
                <c:pt idx="5">
                  <c:v>0.50002674001531888</c:v>
                </c:pt>
                <c:pt idx="6">
                  <c:v>0.47619435223236056</c:v>
                </c:pt>
                <c:pt idx="7">
                  <c:v>0.45293529818535544</c:v>
                </c:pt>
                <c:pt idx="8">
                  <c:v>0.43025231847785045</c:v>
                </c:pt>
                <c:pt idx="9">
                  <c:v>0.40814725962284942</c:v>
                </c:pt>
                <c:pt idx="10">
                  <c:v>0.38662111521068904</c:v>
                </c:pt>
                <c:pt idx="11">
                  <c:v>0.3656740661950092</c:v>
                </c:pt>
                <c:pt idx="12">
                  <c:v>0.3453055202866494</c:v>
                </c:pt>
                <c:pt idx="13">
                  <c:v>0.32551415044697957</c:v>
                </c:pt>
                <c:pt idx="14">
                  <c:v>0.30629793247377135</c:v>
                </c:pt>
                <c:pt idx="15">
                  <c:v>0.28765418167425616</c:v>
                </c:pt>
                <c:pt idx="16">
                  <c:v>0.26957958862147774</c:v>
                </c:pt>
                <c:pt idx="17">
                  <c:v>0.25207025399144761</c:v>
                </c:pt>
                <c:pt idx="18">
                  <c:v>0.23512172247994972</c:v>
                </c:pt>
                <c:pt idx="19">
                  <c:v>0.21872901579910664</c:v>
                </c:pt>
                <c:pt idx="20">
                  <c:v>0.2028866647550347</c:v>
                </c:pt>
                <c:pt idx="21">
                  <c:v>0.18758874040905826</c:v>
                </c:pt>
                <c:pt idx="22">
                  <c:v>0.17282888432604604</c:v>
                </c:pt>
                <c:pt idx="23">
                  <c:v>0.15860033791446304</c:v>
                </c:pt>
                <c:pt idx="24">
                  <c:v>0.14489597086370576</c:v>
                </c:pt>
                <c:pt idx="25">
                  <c:v>0.13170830868520844</c:v>
                </c:pt>
                <c:pt idx="26">
                  <c:v>0.11902955936467575</c:v>
                </c:pt>
                <c:pt idx="27">
                  <c:v>0.10685163913361158</c:v>
                </c:pt>
                <c:pt idx="28">
                  <c:v>9.516619736907618E-2</c:v>
                </c:pt>
                <c:pt idx="29">
                  <c:v>8.3964640631321516E-2</c:v>
                </c:pt>
                <c:pt idx="30">
                  <c:v>7.3238155849620221E-2</c:v>
                </c:pt>
                <c:pt idx="31">
                  <c:v>6.2977732667225964E-2</c:v>
                </c:pt>
                <c:pt idx="32">
                  <c:v>5.3174184956978329E-2</c:v>
                </c:pt>
                <c:pt idx="33">
                  <c:v>4.381817151959988E-2</c:v>
                </c:pt>
                <c:pt idx="34">
                  <c:v>3.4900215977223856E-2</c:v>
                </c:pt>
                <c:pt idx="35">
                  <c:v>2.6410725875141414E-2</c:v>
                </c:pt>
                <c:pt idx="36">
                  <c:v>1.8340011005169354E-2</c:v>
                </c:pt>
                <c:pt idx="37">
                  <c:v>1.0678300964413391E-2</c:v>
                </c:pt>
                <c:pt idx="38">
                  <c:v>3.415761963538988E-3</c:v>
                </c:pt>
                <c:pt idx="39">
                  <c:v>-3.4574871010357167E-3</c:v>
                </c:pt>
                <c:pt idx="40">
                  <c:v>-9.9513592963408476E-3</c:v>
                </c:pt>
                <c:pt idx="41">
                  <c:v>-1.6075785008530928E-2</c:v>
                </c:pt>
                <c:pt idx="42">
                  <c:v>-2.1840697989911569E-2</c:v>
                </c:pt>
                <c:pt idx="43">
                  <c:v>-2.7256022082017169E-2</c:v>
                </c:pt>
                <c:pt idx="44">
                  <c:v>-3.2331658599294266E-2</c:v>
                </c:pt>
                <c:pt idx="45">
                  <c:v>-3.7077474357826032E-2</c:v>
                </c:pt>
                <c:pt idx="46">
                  <c:v>-4.1503290333441384E-2</c:v>
                </c:pt>
                <c:pt idx="47">
                  <c:v>-4.5618870933484629E-2</c:v>
                </c:pt>
                <c:pt idx="48">
                  <c:v>-4.9433913866478801E-2</c:v>
                </c:pt>
                <c:pt idx="49">
                  <c:v>-5.2958040593894695E-2</c:v>
                </c:pt>
                <c:pt idx="50">
                  <c:v>-5.6200787348240938E-2</c:v>
                </c:pt>
                <c:pt idx="51">
                  <c:v>-5.9171596701710197E-2</c:v>
                </c:pt>
                <c:pt idx="52">
                  <c:v>-6.1879809669661334E-2</c:v>
                </c:pt>
                <c:pt idx="53">
                  <c:v>-6.4334658333276326E-2</c:v>
                </c:pt>
                <c:pt idx="54">
                  <c:v>-6.6545258965809678E-2</c:v>
                </c:pt>
                <c:pt idx="55">
                  <c:v>-6.8520605646943039E-2</c:v>
                </c:pt>
                <c:pt idx="56">
                  <c:v>-7.0269564349870167E-2</c:v>
                </c:pt>
                <c:pt idx="57">
                  <c:v>-7.1800867485860703E-2</c:v>
                </c:pt>
                <c:pt idx="58">
                  <c:v>-7.3123108891193236E-2</c:v>
                </c:pt>
                <c:pt idx="59">
                  <c:v>-7.4244739241500629E-2</c:v>
                </c:pt>
                <c:pt idx="60">
                  <c:v>-7.5174061878734766E-2</c:v>
                </c:pt>
                <c:pt idx="61">
                  <c:v>-7.5919229036136529E-2</c:v>
                </c:pt>
                <c:pt idx="62">
                  <c:v>-7.6488238446782528E-2</c:v>
                </c:pt>
                <c:pt idx="63">
                  <c:v>-7.6888930321478283E-2</c:v>
                </c:pt>
                <c:pt idx="64">
                  <c:v>-7.7128984681973711E-2</c:v>
                </c:pt>
                <c:pt idx="65">
                  <c:v>-7.7215919035692415E-2</c:v>
                </c:pt>
                <c:pt idx="66">
                  <c:v>-7.7157086378387432E-2</c:v>
                </c:pt>
                <c:pt idx="67">
                  <c:v>-7.6959673511367857E-2</c:v>
                </c:pt>
                <c:pt idx="68">
                  <c:v>-7.6630699660174773E-2</c:v>
                </c:pt>
                <c:pt idx="69">
                  <c:v>-7.6177015381829041E-2</c:v>
                </c:pt>
                <c:pt idx="70">
                  <c:v>-7.5605301748018744E-2</c:v>
                </c:pt>
                <c:pt idx="71">
                  <c:v>-7.4922069791847179E-2</c:v>
                </c:pt>
                <c:pt idx="72">
                  <c:v>-7.4133660206017749E-2</c:v>
                </c:pt>
                <c:pt idx="73">
                  <c:v>-7.3246243280591108E-2</c:v>
                </c:pt>
                <c:pt idx="74">
                  <c:v>-7.2265819068713197E-2</c:v>
                </c:pt>
                <c:pt idx="75">
                  <c:v>-7.1198217768976224E-2</c:v>
                </c:pt>
                <c:pt idx="76">
                  <c:v>-7.0049100313343562E-2</c:v>
                </c:pt>
                <c:pt idx="77">
                  <c:v>-6.8823959149836592E-2</c:v>
                </c:pt>
                <c:pt idx="78">
                  <c:v>-6.7528119209451301E-2</c:v>
                </c:pt>
                <c:pt idx="79">
                  <c:v>-6.6166739047044038E-2</c:v>
                </c:pt>
                <c:pt idx="80">
                  <c:v>-6.4744812146194972E-2</c:v>
                </c:pt>
                <c:pt idx="81">
                  <c:v>-6.3267168378330685E-2</c:v>
                </c:pt>
                <c:pt idx="82">
                  <c:v>-6.173847560665538E-2</c:v>
                </c:pt>
                <c:pt idx="83">
                  <c:v>-6.0163241425711542E-2</c:v>
                </c:pt>
                <c:pt idx="84">
                  <c:v>-5.854581502765932E-2</c:v>
                </c:pt>
                <c:pt idx="85">
                  <c:v>-5.6890389186630794E-2</c:v>
                </c:pt>
                <c:pt idx="86">
                  <c:v>-5.5201002352780554E-2</c:v>
                </c:pt>
                <c:pt idx="87">
                  <c:v>-5.3481540847919715E-2</c:v>
                </c:pt>
                <c:pt idx="88">
                  <c:v>-5.1735741154879417E-2</c:v>
                </c:pt>
                <c:pt idx="89">
                  <c:v>-4.9967192293011803E-2</c:v>
                </c:pt>
                <c:pt idx="90">
                  <c:v>-4.8179338272490699E-2</c:v>
                </c:pt>
                <c:pt idx="91">
                  <c:v>-4.6375480620329992E-2</c:v>
                </c:pt>
                <c:pt idx="92">
                  <c:v>-4.4558780971287057E-2</c:v>
                </c:pt>
                <c:pt idx="93">
                  <c:v>-4.2732263717067398E-2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0D7-468E-BDA4-D27AFD4B68D8}"/>
            </c:ext>
          </c:extLst>
        </c:ser>
        <c:ser>
          <c:idx val="11"/>
          <c:order val="11"/>
          <c:tx>
            <c:strRef>
              <c:f>'Second Order V3'!$M$6</c:f>
              <c:strCache>
                <c:ptCount val="1"/>
                <c:pt idx="0">
                  <c:v>Expected second order response with 10 ms delay and low margin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V3'!$M$7:$M$100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0.23936661583727536</c:v>
                </c:pt>
                <c:pt idx="3">
                  <c:v>0.23226697207936658</c:v>
                </c:pt>
                <c:pt idx="4">
                  <c:v>0.22531258656341824</c:v>
                </c:pt>
                <c:pt idx="5">
                  <c:v>0.21850555489032314</c:v>
                </c:pt>
                <c:pt idx="6">
                  <c:v>0.21184767594727222</c:v>
                </c:pt>
                <c:pt idx="7">
                  <c:v>0.20534046400408507</c:v>
                </c:pt>
                <c:pt idx="8">
                  <c:v>0.19898516059529617</c:v>
                </c:pt>
                <c:pt idx="9">
                  <c:v>0.19278274618276145</c:v>
                </c:pt>
                <c:pt idx="10">
                  <c:v>0.18673395159409345</c:v>
                </c:pt>
                <c:pt idx="11">
                  <c:v>0.18083926923275984</c:v>
                </c:pt>
                <c:pt idx="12">
                  <c:v>0.17509896405618375</c:v>
                </c:pt>
                <c:pt idx="13">
                  <c:v>0.16951308431866913</c:v>
                </c:pt>
                <c:pt idx="14">
                  <c:v>0.16408147207643986</c:v>
                </c:pt>
                <c:pt idx="15">
                  <c:v>0.15880377345252789</c:v>
                </c:pt>
                <c:pt idx="16">
                  <c:v>0.15367944865967237</c:v>
                </c:pt>
                <c:pt idx="17">
                  <c:v>0.14870778177980165</c:v>
                </c:pt>
                <c:pt idx="18">
                  <c:v>0.14388789029906074</c:v>
                </c:pt>
                <c:pt idx="19">
                  <c:v>0.13921873439771937</c:v>
                </c:pt>
                <c:pt idx="20">
                  <c:v>0.13469912599465325</c:v>
                </c:pt>
                <c:pt idx="21">
                  <c:v>0.13032773754642843</c:v>
                </c:pt>
                <c:pt idx="22">
                  <c:v>0.12610311060134261</c:v>
                </c:pt>
                <c:pt idx="23">
                  <c:v>0.12202366410908221</c:v>
                </c:pt>
                <c:pt idx="24">
                  <c:v>0.11808770248694561</c:v>
                </c:pt>
                <c:pt idx="25">
                  <c:v>0.11429342344385682</c:v>
                </c:pt>
                <c:pt idx="26">
                  <c:v>0.11063892556365489</c:v>
                </c:pt>
                <c:pt idx="27">
                  <c:v>0.10712221564938892</c:v>
                </c:pt>
                <c:pt idx="28">
                  <c:v>0.10374121583058021</c:v>
                </c:pt>
                <c:pt idx="29">
                  <c:v>0.10049377043562976</c:v>
                </c:pt>
                <c:pt idx="30">
                  <c:v>9.7377652631753644E-2</c:v>
                </c:pt>
                <c:pt idx="31">
                  <c:v>9.4390570835019061E-2</c:v>
                </c:pt>
                <c:pt idx="32">
                  <c:v>9.1530174893232064E-2</c:v>
                </c:pt>
                <c:pt idx="33">
                  <c:v>8.8794062044593586E-2</c:v>
                </c:pt>
                <c:pt idx="34">
                  <c:v>8.6179782655194229E-2</c:v>
                </c:pt>
                <c:pt idx="35">
                  <c:v>8.3684845738559971E-2</c:v>
                </c:pt>
                <c:pt idx="36">
                  <c:v>8.130672426059303E-2</c:v>
                </c:pt>
                <c:pt idx="37">
                  <c:v>7.9042860233371051E-2</c:v>
                </c:pt>
                <c:pt idx="38">
                  <c:v>7.6890669601378497E-2</c:v>
                </c:pt>
                <c:pt idx="39">
                  <c:v>7.4847546923843572E-2</c:v>
                </c:pt>
                <c:pt idx="40">
                  <c:v>7.2910869856943727E-2</c:v>
                </c:pt>
                <c:pt idx="41">
                  <c:v>7.1078003439723814E-2</c:v>
                </c:pt>
                <c:pt idx="42">
                  <c:v>6.9346304187642441E-2</c:v>
                </c:pt>
                <c:pt idx="43">
                  <c:v>6.7713123997725083E-2</c:v>
                </c:pt>
                <c:pt idx="44">
                  <c:v>6.617581386935692E-2</c:v>
                </c:pt>
                <c:pt idx="45">
                  <c:v>6.4731727444795426E-2</c:v>
                </c:pt>
                <c:pt idx="46">
                  <c:v>6.337822437352153E-2</c:v>
                </c:pt>
                <c:pt idx="47">
                  <c:v>6.2112673504579725E-2</c:v>
                </c:pt>
                <c:pt idx="48">
                  <c:v>6.0932455911082303E-2</c:v>
                </c:pt>
                <c:pt idx="49">
                  <c:v>5.9834967751070764E-2</c:v>
                </c:pt>
                <c:pt idx="50">
                  <c:v>5.8817622968938985E-2</c:v>
                </c:pt>
                <c:pt idx="51">
                  <c:v>5.7877855841628079E-2</c:v>
                </c:pt>
                <c:pt idx="52">
                  <c:v>5.7013123373802418E-2</c:v>
                </c:pt>
                <c:pt idx="53">
                  <c:v>5.6220907546210619E-2</c:v>
                </c:pt>
                <c:pt idx="54">
                  <c:v>5.5498717421423642E-2</c:v>
                </c:pt>
                <c:pt idx="55">
                  <c:v>5.4844091111126314E-2</c:v>
                </c:pt>
                <c:pt idx="56">
                  <c:v>5.4254597609117418E-2</c:v>
                </c:pt>
                <c:pt idx="57">
                  <c:v>5.3727838494148528E-2</c:v>
                </c:pt>
                <c:pt idx="58">
                  <c:v>5.3261449506701294E-2</c:v>
                </c:pt>
                <c:pt idx="59">
                  <c:v>5.2853102003770476E-2</c:v>
                </c:pt>
                <c:pt idx="60">
                  <c:v>5.2500504295681802E-2</c:v>
                </c:pt>
                <c:pt idx="61">
                  <c:v>5.2201402868933162E-2</c:v>
                </c:pt>
                <c:pt idx="62">
                  <c:v>5.1953583499004072E-2</c:v>
                </c:pt>
                <c:pt idx="63">
                  <c:v>5.1754872257030259E-2</c:v>
                </c:pt>
                <c:pt idx="64">
                  <c:v>5.1603136414191328E-2</c:v>
                </c:pt>
                <c:pt idx="65">
                  <c:v>5.1496285247605786E-2</c:v>
                </c:pt>
                <c:pt idx="66">
                  <c:v>5.1432270751473677E-2</c:v>
                </c:pt>
                <c:pt idx="67">
                  <c:v>5.1409088257148683E-2</c:v>
                </c:pt>
                <c:pt idx="68">
                  <c:v>5.142477696576335E-2</c:v>
                </c:pt>
                <c:pt idx="69">
                  <c:v>5.1477420396968565E-2</c:v>
                </c:pt>
                <c:pt idx="70">
                  <c:v>5.1565146757286726E-2</c:v>
                </c:pt>
                <c:pt idx="71">
                  <c:v>5.1686129231512258E-2</c:v>
                </c:pt>
                <c:pt idx="72">
                  <c:v>5.1838586200528336E-2</c:v>
                </c:pt>
                <c:pt idx="73">
                  <c:v>5.202078138884076E-2</c:v>
                </c:pt>
                <c:pt idx="74">
                  <c:v>5.2231023945061933E-2</c:v>
                </c:pt>
                <c:pt idx="75">
                  <c:v>5.2467668458509031E-2</c:v>
                </c:pt>
                <c:pt idx="76">
                  <c:v>5.2729114915009818E-2</c:v>
                </c:pt>
                <c:pt idx="77">
                  <c:v>5.3013808594939676E-2</c:v>
                </c:pt>
                <c:pt idx="78">
                  <c:v>5.332023991644172E-2</c:v>
                </c:pt>
                <c:pt idx="79">
                  <c:v>5.3646944226710243E-2</c:v>
                </c:pt>
                <c:pt idx="80">
                  <c:v>5.3992501544146324E-2</c:v>
                </c:pt>
                <c:pt idx="81">
                  <c:v>5.4355536254121595E-2</c:v>
                </c:pt>
                <c:pt idx="82">
                  <c:v>5.4734716761014678E-2</c:v>
                </c:pt>
                <c:pt idx="83">
                  <c:v>5.5128755099111817E-2</c:v>
                </c:pt>
                <c:pt idx="84">
                  <c:v>5.5536406504891903E-2</c:v>
                </c:pt>
                <c:pt idx="85">
                  <c:v>5.5956468953143587E-2</c:v>
                </c:pt>
                <c:pt idx="86">
                  <c:v>5.6387782659290842E-2</c:v>
                </c:pt>
                <c:pt idx="87">
                  <c:v>5.6829229550231793E-2</c:v>
                </c:pt>
                <c:pt idx="88">
                  <c:v>5.7279732705925186E-2</c:v>
                </c:pt>
                <c:pt idx="89">
                  <c:v>5.7738255773888074E-2</c:v>
                </c:pt>
                <c:pt idx="90">
                  <c:v>5.820380235869882E-2</c:v>
                </c:pt>
                <c:pt idx="91">
                  <c:v>5.8675415388530189E-2</c:v>
                </c:pt>
                <c:pt idx="92">
                  <c:v>5.9152176460669142E-2</c:v>
                </c:pt>
                <c:pt idx="93">
                  <c:v>5.9633205167912005E-2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0D7-468E-BDA4-D27AFD4B68D8}"/>
            </c:ext>
          </c:extLst>
        </c:ser>
        <c:ser>
          <c:idx val="12"/>
          <c:order val="12"/>
          <c:tx>
            <c:strRef>
              <c:f>'Second Order V3'!$N$6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V3'!$N$7:$N$100</c:f>
              <c:numCache>
                <c:formatCode>General</c:formatCode>
                <c:ptCount val="94"/>
                <c:pt idx="0">
                  <c:v>0.08</c:v>
                </c:pt>
                <c:pt idx="1">
                  <c:v>0.08</c:v>
                </c:pt>
                <c:pt idx="2">
                  <c:v>0.23936661583727536</c:v>
                </c:pt>
                <c:pt idx="3">
                  <c:v>0.23226697207936658</c:v>
                </c:pt>
                <c:pt idx="4">
                  <c:v>0.22531258656341824</c:v>
                </c:pt>
                <c:pt idx="5">
                  <c:v>0.21850555489032314</c:v>
                </c:pt>
                <c:pt idx="6">
                  <c:v>0.21184767594727222</c:v>
                </c:pt>
                <c:pt idx="7">
                  <c:v>0.20534046400408507</c:v>
                </c:pt>
                <c:pt idx="8">
                  <c:v>0.19898516059529617</c:v>
                </c:pt>
                <c:pt idx="9">
                  <c:v>0.19278274618276145</c:v>
                </c:pt>
                <c:pt idx="10">
                  <c:v>0.18673395159409345</c:v>
                </c:pt>
                <c:pt idx="11">
                  <c:v>0.18083926923275984</c:v>
                </c:pt>
                <c:pt idx="12">
                  <c:v>0.17509896405618375</c:v>
                </c:pt>
                <c:pt idx="13">
                  <c:v>0.16951308431866913</c:v>
                </c:pt>
                <c:pt idx="14">
                  <c:v>0.16408147207643986</c:v>
                </c:pt>
                <c:pt idx="15">
                  <c:v>0.15880377345252789</c:v>
                </c:pt>
                <c:pt idx="16">
                  <c:v>0.15367944865967237</c:v>
                </c:pt>
                <c:pt idx="17">
                  <c:v>0.14870778177980165</c:v>
                </c:pt>
                <c:pt idx="18">
                  <c:v>0.14388789029906074</c:v>
                </c:pt>
                <c:pt idx="19">
                  <c:v>0.13921873439771937</c:v>
                </c:pt>
                <c:pt idx="20">
                  <c:v>0.13187385392691076</c:v>
                </c:pt>
                <c:pt idx="21">
                  <c:v>0.12245260530586372</c:v>
                </c:pt>
                <c:pt idx="22">
                  <c:v>0.11360293428483867</c:v>
                </c:pt>
                <c:pt idx="23">
                  <c:v>0.1053024169047299</c:v>
                </c:pt>
                <c:pt idx="24">
                  <c:v>9.7529114505474232E-2</c:v>
                </c:pt>
                <c:pt idx="25">
                  <c:v>9.0261582858015346E-2</c:v>
                </c:pt>
                <c:pt idx="26">
                  <c:v>8.3478879696276584E-2</c:v>
                </c:pt>
                <c:pt idx="27">
                  <c:v>7.7160570745582385E-2</c:v>
                </c:pt>
                <c:pt idx="28">
                  <c:v>7.1286734340205188E-2</c:v>
                </c:pt>
                <c:pt idx="29">
                  <c:v>6.5837964719032555E-2</c:v>
                </c:pt>
                <c:pt idx="30">
                  <c:v>6.0795374084747875E-2</c:v>
                </c:pt>
                <c:pt idx="31">
                  <c:v>5.6140593508400699E-2</c:v>
                </c:pt>
                <c:pt idx="32">
                  <c:v>5.1855772757809983E-2</c:v>
                </c:pt>
                <c:pt idx="33">
                  <c:v>4.381817151959988E-2</c:v>
                </c:pt>
                <c:pt idx="34">
                  <c:v>3.4900215977223856E-2</c:v>
                </c:pt>
                <c:pt idx="35">
                  <c:v>2.6410725875141414E-2</c:v>
                </c:pt>
                <c:pt idx="36">
                  <c:v>1.8340011005169354E-2</c:v>
                </c:pt>
                <c:pt idx="37">
                  <c:v>1.0678300964413391E-2</c:v>
                </c:pt>
                <c:pt idx="38">
                  <c:v>3.415761963538988E-3</c:v>
                </c:pt>
                <c:pt idx="39">
                  <c:v>-3.4574871010357167E-3</c:v>
                </c:pt>
                <c:pt idx="40">
                  <c:v>-9.9513592963408476E-3</c:v>
                </c:pt>
                <c:pt idx="41">
                  <c:v>-1.6075785008530928E-2</c:v>
                </c:pt>
                <c:pt idx="42">
                  <c:v>-2.1840697989911569E-2</c:v>
                </c:pt>
                <c:pt idx="43">
                  <c:v>-2.7256022082017169E-2</c:v>
                </c:pt>
                <c:pt idx="44">
                  <c:v>-3.2331658599294266E-2</c:v>
                </c:pt>
                <c:pt idx="45">
                  <c:v>-3.7077474357826032E-2</c:v>
                </c:pt>
                <c:pt idx="46">
                  <c:v>-4.1503290333441384E-2</c:v>
                </c:pt>
                <c:pt idx="47">
                  <c:v>-4.5618870933484629E-2</c:v>
                </c:pt>
                <c:pt idx="48">
                  <c:v>-4.9433913866478801E-2</c:v>
                </c:pt>
                <c:pt idx="49">
                  <c:v>-5.2958040593894695E-2</c:v>
                </c:pt>
                <c:pt idx="50">
                  <c:v>-5.6200787348240938E-2</c:v>
                </c:pt>
                <c:pt idx="51">
                  <c:v>-5.9171596701710197E-2</c:v>
                </c:pt>
                <c:pt idx="52">
                  <c:v>-6.1879809669661334E-2</c:v>
                </c:pt>
                <c:pt idx="53">
                  <c:v>-6.4334658333276326E-2</c:v>
                </c:pt>
                <c:pt idx="54">
                  <c:v>-6.6545258965809678E-2</c:v>
                </c:pt>
                <c:pt idx="55">
                  <c:v>-6.8520605646943039E-2</c:v>
                </c:pt>
                <c:pt idx="56">
                  <c:v>-7.0269564349870167E-2</c:v>
                </c:pt>
                <c:pt idx="57">
                  <c:v>-7.1800867485860703E-2</c:v>
                </c:pt>
                <c:pt idx="58">
                  <c:v>-7.3123108891193236E-2</c:v>
                </c:pt>
                <c:pt idx="59">
                  <c:v>-7.4244739241500629E-2</c:v>
                </c:pt>
                <c:pt idx="60">
                  <c:v>-7.5174061878734766E-2</c:v>
                </c:pt>
                <c:pt idx="61">
                  <c:v>-7.5919229036136529E-2</c:v>
                </c:pt>
                <c:pt idx="62">
                  <c:v>-7.6488238446782528E-2</c:v>
                </c:pt>
                <c:pt idx="63">
                  <c:v>-7.6888930321478283E-2</c:v>
                </c:pt>
                <c:pt idx="64">
                  <c:v>-7.7128984681973711E-2</c:v>
                </c:pt>
                <c:pt idx="65">
                  <c:v>-7.7215919035692415E-2</c:v>
                </c:pt>
                <c:pt idx="66">
                  <c:v>-7.7157086378387432E-2</c:v>
                </c:pt>
                <c:pt idx="67">
                  <c:v>-7.6959673511367857E-2</c:v>
                </c:pt>
                <c:pt idx="68">
                  <c:v>-7.6630699660174773E-2</c:v>
                </c:pt>
                <c:pt idx="69">
                  <c:v>-7.6177015381829041E-2</c:v>
                </c:pt>
                <c:pt idx="70">
                  <c:v>-7.5605301748018744E-2</c:v>
                </c:pt>
                <c:pt idx="71">
                  <c:v>-7.4922069791847179E-2</c:v>
                </c:pt>
                <c:pt idx="72">
                  <c:v>-7.4133660206017749E-2</c:v>
                </c:pt>
                <c:pt idx="73">
                  <c:v>-7.3246243280591108E-2</c:v>
                </c:pt>
                <c:pt idx="74">
                  <c:v>-7.2265819068713197E-2</c:v>
                </c:pt>
                <c:pt idx="75">
                  <c:v>-7.1198217768976224E-2</c:v>
                </c:pt>
                <c:pt idx="76">
                  <c:v>-7.0049100313343562E-2</c:v>
                </c:pt>
                <c:pt idx="77">
                  <c:v>-6.8823959149836592E-2</c:v>
                </c:pt>
                <c:pt idx="78">
                  <c:v>-6.7528119209451301E-2</c:v>
                </c:pt>
                <c:pt idx="79">
                  <c:v>-6.6166739047044038E-2</c:v>
                </c:pt>
                <c:pt idx="80">
                  <c:v>-6.4744812146194972E-2</c:v>
                </c:pt>
                <c:pt idx="81">
                  <c:v>-6.3267168378330685E-2</c:v>
                </c:pt>
                <c:pt idx="82">
                  <c:v>-6.173847560665538E-2</c:v>
                </c:pt>
                <c:pt idx="83">
                  <c:v>-6.0163241425711542E-2</c:v>
                </c:pt>
                <c:pt idx="84">
                  <c:v>-5.854581502765932E-2</c:v>
                </c:pt>
                <c:pt idx="85">
                  <c:v>-5.6890389186630794E-2</c:v>
                </c:pt>
                <c:pt idx="86">
                  <c:v>-5.5201002352780554E-2</c:v>
                </c:pt>
                <c:pt idx="87">
                  <c:v>-5.3481540847919715E-2</c:v>
                </c:pt>
                <c:pt idx="88">
                  <c:v>-5.1735741154879417E-2</c:v>
                </c:pt>
                <c:pt idx="89">
                  <c:v>-4.9967192293011803E-2</c:v>
                </c:pt>
                <c:pt idx="90">
                  <c:v>-4.8179338272490699E-2</c:v>
                </c:pt>
                <c:pt idx="91">
                  <c:v>-4.6375480620329992E-2</c:v>
                </c:pt>
                <c:pt idx="92">
                  <c:v>-4.4558780971287057E-2</c:v>
                </c:pt>
                <c:pt idx="93">
                  <c:v>-4.2732263717067398E-2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0D7-468E-BDA4-D27AFD4B68D8}"/>
            </c:ext>
          </c:extLst>
        </c:ser>
        <c:ser>
          <c:idx val="13"/>
          <c:order val="13"/>
          <c:tx>
            <c:strRef>
              <c:f>'Second Order V3'!$O$6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V3'!$A$7:$A$100</c:f>
              <c:numCache>
                <c:formatCode>General</c:formatCode>
                <c:ptCount val="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</c:numCache>
            </c:numRef>
          </c:xVal>
          <c:yVal>
            <c:numRef>
              <c:f>'Second Order V3'!$O$7:$O$100</c:f>
              <c:numCache>
                <c:formatCode>General</c:formatCode>
                <c:ptCount val="94"/>
                <c:pt idx="0">
                  <c:v>0.72762480938978247</c:v>
                </c:pt>
                <c:pt idx="1">
                  <c:v>0.72762480938978247</c:v>
                </c:pt>
                <c:pt idx="2">
                  <c:v>0.72762480938978247</c:v>
                </c:pt>
                <c:pt idx="3">
                  <c:v>0.71286940027189782</c:v>
                </c:pt>
                <c:pt idx="4">
                  <c:v>0.69847830350319173</c:v>
                </c:pt>
                <c:pt idx="5">
                  <c:v>0.68444252417971363</c:v>
                </c:pt>
                <c:pt idx="6">
                  <c:v>0.67075328948248325</c:v>
                </c:pt>
                <c:pt idx="7">
                  <c:v>0.65740204319419226</c:v>
                </c:pt>
                <c:pt idx="8">
                  <c:v>0.64438044035129061</c:v>
                </c:pt>
                <c:pt idx="9">
                  <c:v>0.63168034202811219</c:v>
                </c:pt>
                <c:pt idx="10">
                  <c:v>0.61929381024978192</c:v>
                </c:pt>
                <c:pt idx="11">
                  <c:v>0.60721310303072262</c:v>
                </c:pt>
                <c:pt idx="12">
                  <c:v>0.59543066953566171</c:v>
                </c:pt>
                <c:pt idx="13">
                  <c:v>0.58393914536011415</c:v>
                </c:pt>
                <c:pt idx="14">
                  <c:v>0.57273134792738944</c:v>
                </c:pt>
                <c:pt idx="15">
                  <c:v>0.56180027199924742</c:v>
                </c:pt>
                <c:pt idx="16">
                  <c:v>0.55113908529739608</c:v>
                </c:pt>
                <c:pt idx="17">
                  <c:v>0.54074112423309584</c:v>
                </c:pt>
                <c:pt idx="18">
                  <c:v>0.53059988974219918</c:v>
                </c:pt>
                <c:pt idx="19">
                  <c:v>0.52070904322302403</c:v>
                </c:pt>
                <c:pt idx="20">
                  <c:v>0.51106240257452162</c:v>
                </c:pt>
                <c:pt idx="21">
                  <c:v>0.5016539383322618</c:v>
                </c:pt>
                <c:pt idx="22">
                  <c:v>0.49247776989982156</c:v>
                </c:pt>
                <c:pt idx="23">
                  <c:v>0.48352816187322117</c:v>
                </c:pt>
                <c:pt idx="24">
                  <c:v>0.47479952045610946</c:v>
                </c:pt>
                <c:pt idx="25">
                  <c:v>0.46628638996345945</c:v>
                </c:pt>
                <c:pt idx="26">
                  <c:v>0.4579834494115872</c:v>
                </c:pt>
                <c:pt idx="27">
                  <c:v>0.44988550919236425</c:v>
                </c:pt>
                <c:pt idx="28">
                  <c:v>0.44198750782954316</c:v>
                </c:pt>
                <c:pt idx="29">
                  <c:v>0.4342845088151705</c:v>
                </c:pt>
                <c:pt idx="30">
                  <c:v>0.42677169752410832</c:v>
                </c:pt>
                <c:pt idx="31">
                  <c:v>0.41944437820473707</c:v>
                </c:pt>
                <c:pt idx="32">
                  <c:v>0.41229797104395755</c:v>
                </c:pt>
                <c:pt idx="33">
                  <c:v>0.40532800930465901</c:v>
                </c:pt>
                <c:pt idx="34">
                  <c:v>0.39853013653386293</c:v>
                </c:pt>
                <c:pt idx="35">
                  <c:v>0.39190010383979801</c:v>
                </c:pt>
                <c:pt idx="36">
                  <c:v>0.38543376723620459</c:v>
                </c:pt>
                <c:pt idx="37">
                  <c:v>0.37912708505220832</c:v>
                </c:pt>
                <c:pt idx="38">
                  <c:v>0.37297611540614428</c:v>
                </c:pt>
                <c:pt idx="39">
                  <c:v>0.36697701374175251</c:v>
                </c:pt>
                <c:pt idx="40">
                  <c:v>0.36112603042520569</c:v>
                </c:pt>
                <c:pt idx="41">
                  <c:v>0.35541950840146508</c:v>
                </c:pt>
                <c:pt idx="42">
                  <c:v>0.34985388090850289</c:v>
                </c:pt>
                <c:pt idx="43">
                  <c:v>0.34442566924795948</c:v>
                </c:pt>
                <c:pt idx="44">
                  <c:v>0.33913148061084369</c:v>
                </c:pt>
                <c:pt idx="45">
                  <c:v>0.33396800595691695</c:v>
                </c:pt>
                <c:pt idx="46">
                  <c:v>0.32893201794643512</c:v>
                </c:pt>
                <c:pt idx="47">
                  <c:v>0.32402036892295633</c:v>
                </c:pt>
                <c:pt idx="48">
                  <c:v>0.31922998894595317</c:v>
                </c:pt>
                <c:pt idx="49">
                  <c:v>0.31455788387200001</c:v>
                </c:pt>
                <c:pt idx="50">
                  <c:v>0.31000113348333552</c:v>
                </c:pt>
                <c:pt idx="51">
                  <c:v>0.30555688966263211</c:v>
                </c:pt>
                <c:pt idx="52">
                  <c:v>0.30122237461282941</c:v>
                </c:pt>
                <c:pt idx="53">
                  <c:v>0.29699487912092093</c:v>
                </c:pt>
                <c:pt idx="54">
                  <c:v>0.29287176086460742</c:v>
                </c:pt>
                <c:pt idx="55">
                  <c:v>0.28885044276075988</c:v>
                </c:pt>
                <c:pt idx="56">
                  <c:v>0.28492841135465841</c:v>
                </c:pt>
                <c:pt idx="57">
                  <c:v>0.28110321524900123</c:v>
                </c:pt>
                <c:pt idx="58">
                  <c:v>0.27737246357170159</c:v>
                </c:pt>
                <c:pt idx="59">
                  <c:v>0.27373382448151501</c:v>
                </c:pt>
                <c:pt idx="60">
                  <c:v>0.27018502371056219</c:v>
                </c:pt>
                <c:pt idx="61">
                  <c:v>0.26672384314283815</c:v>
                </c:pt>
                <c:pt idx="62">
                  <c:v>0.263348119427817</c:v>
                </c:pt>
                <c:pt idx="63">
                  <c:v>0.26005574262828779</c:v>
                </c:pt>
                <c:pt idx="64">
                  <c:v>0.25684465490157482</c:v>
                </c:pt>
                <c:pt idx="65">
                  <c:v>0.25371284921331921</c:v>
                </c:pt>
                <c:pt idx="66">
                  <c:v>0.25065836808301672</c:v>
                </c:pt>
                <c:pt idx="67">
                  <c:v>0.24767930236052921</c:v>
                </c:pt>
                <c:pt idx="68">
                  <c:v>0.24477379003280331</c:v>
                </c:pt>
                <c:pt idx="69">
                  <c:v>0.24194001506005175</c:v>
                </c:pt>
                <c:pt idx="70">
                  <c:v>0.23917620624066926</c:v>
                </c:pt>
                <c:pt idx="71">
                  <c:v>0.23648063610417425</c:v>
                </c:pt>
                <c:pt idx="72">
                  <c:v>0.23385161983148312</c:v>
                </c:pt>
                <c:pt idx="73">
                  <c:v>0.23128751420184362</c:v>
                </c:pt>
                <c:pt idx="74">
                  <c:v>0.2287867165657686</c:v>
                </c:pt>
                <c:pt idx="75">
                  <c:v>0.22634766384332761</c:v>
                </c:pt>
                <c:pt idx="76">
                  <c:v>0.22396883154717123</c:v>
                </c:pt>
                <c:pt idx="77">
                  <c:v>0.22164873282967679</c:v>
                </c:pt>
                <c:pt idx="78">
                  <c:v>0.21938591755362025</c:v>
                </c:pt>
                <c:pt idx="79">
                  <c:v>0.21717897138579312</c:v>
                </c:pt>
                <c:pt idx="80">
                  <c:v>0.2150265149129984</c:v>
                </c:pt>
                <c:pt idx="81">
                  <c:v>0.2129272027798722</c:v>
                </c:pt>
                <c:pt idx="82">
                  <c:v>0.21087972284799289</c:v>
                </c:pt>
                <c:pt idx="83">
                  <c:v>0.20888279537575183</c:v>
                </c:pt>
                <c:pt idx="84">
                  <c:v>0.20693517221847352</c:v>
                </c:pt>
                <c:pt idx="85">
                  <c:v>0.20503563604828406</c:v>
                </c:pt>
                <c:pt idx="86">
                  <c:v>0.20318299959324188</c:v>
                </c:pt>
                <c:pt idx="87">
                  <c:v>0.20137610489525426</c:v>
                </c:pt>
                <c:pt idx="88">
                  <c:v>0.19961382258631549</c:v>
                </c:pt>
                <c:pt idx="89">
                  <c:v>0.1978950511826153</c:v>
                </c:pt>
                <c:pt idx="90">
                  <c:v>0.19621871639607563</c:v>
                </c:pt>
                <c:pt idx="91">
                  <c:v>0.19458377046288566</c:v>
                </c:pt>
                <c:pt idx="92">
                  <c:v>0.19298919148861504</c:v>
                </c:pt>
                <c:pt idx="93">
                  <c:v>0.19143398280949697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0D7-468E-BDA4-D27AFD4B6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646080"/>
        <c:axId val="804646440"/>
      </c:scatterChart>
      <c:valAx>
        <c:axId val="80464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646440"/>
        <c:crosses val="autoZero"/>
        <c:crossBetween val="midCat"/>
      </c:valAx>
      <c:valAx>
        <c:axId val="80464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64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19258253796"/>
          <c:y val="0.10363894168401369"/>
          <c:w val="0.69125292118830539"/>
          <c:h val="0.12701239931215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152400</xdr:rowOff>
        </xdr:from>
        <xdr:to>
          <xdr:col>18</xdr:col>
          <xdr:colOff>714375</xdr:colOff>
          <xdr:row>3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719899</xdr:colOff>
      <xdr:row>21</xdr:row>
      <xdr:rowOff>17620</xdr:rowOff>
    </xdr:from>
    <xdr:to>
      <xdr:col>35</xdr:col>
      <xdr:colOff>424836</xdr:colOff>
      <xdr:row>56</xdr:row>
      <xdr:rowOff>88675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1759AFE-6F07-3F70-D532-0EAC237C1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248754</xdr:colOff>
      <xdr:row>61</xdr:row>
      <xdr:rowOff>7229</xdr:rowOff>
    </xdr:from>
    <xdr:to>
      <xdr:col>19</xdr:col>
      <xdr:colOff>738186</xdr:colOff>
      <xdr:row>104</xdr:row>
      <xdr:rowOff>102479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2EC720A-7074-970F-47C0-DE6F374C7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EVOST Thibault" id="{00A0633C-59D8-470F-8D50-4E088D0F8621}" userId="S::thibault.prevost@rte-france.com::aede6345-c616-427b-860f-5c53dc844335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3" dT="2025-03-28T08:16:52.32" personId="{00A0633C-59D8-470F-8D50-4E088D0F8621}" id="{CD35C11D-0F53-446F-8E2C-F363717D4E57}">
    <text xml:space="preserve">Margin taken to get multiple values of H and D to verify that the envelope is large enough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0BB9C-A1B3-42C0-8206-C2FF4D53514F}">
  <dimension ref="A1:Y1495"/>
  <sheetViews>
    <sheetView tabSelected="1" topLeftCell="E1" zoomScale="70" zoomScaleNormal="70" workbookViewId="0">
      <selection activeCell="S10" sqref="S10"/>
    </sheetView>
  </sheetViews>
  <sheetFormatPr baseColWidth="10" defaultColWidth="11.3984375" defaultRowHeight="14.25" x14ac:dyDescent="0.45"/>
  <cols>
    <col min="9" max="9" width="13.73046875" customWidth="1"/>
    <col min="18" max="18" width="33.59765625" customWidth="1"/>
    <col min="19" max="19" width="6.46484375" customWidth="1"/>
  </cols>
  <sheetData>
    <row r="1" spans="1:25" ht="23.25" x14ac:dyDescent="0.7">
      <c r="B1" s="3" t="s">
        <v>0</v>
      </c>
      <c r="L1" t="s">
        <v>1</v>
      </c>
      <c r="M1" s="1" t="b">
        <v>1</v>
      </c>
    </row>
    <row r="2" spans="1:25" x14ac:dyDescent="0.45">
      <c r="B2" t="s">
        <v>2</v>
      </c>
      <c r="T2" t="s">
        <v>3</v>
      </c>
      <c r="U2" t="s">
        <v>3</v>
      </c>
    </row>
    <row r="3" spans="1:25" x14ac:dyDescent="0.45">
      <c r="T3" s="1">
        <v>0.8</v>
      </c>
      <c r="U3" s="1">
        <v>1.2</v>
      </c>
    </row>
    <row r="4" spans="1:25" x14ac:dyDescent="0.45">
      <c r="T4" t="s">
        <v>4</v>
      </c>
      <c r="U4" t="s">
        <v>5</v>
      </c>
      <c r="W4" t="s">
        <v>6</v>
      </c>
      <c r="X4" t="s">
        <v>7</v>
      </c>
      <c r="Y4" t="s">
        <v>8</v>
      </c>
    </row>
    <row r="5" spans="1:25" ht="30.75" customHeight="1" x14ac:dyDescent="0.45">
      <c r="R5" t="s">
        <v>9</v>
      </c>
      <c r="S5" s="1">
        <v>-13.24</v>
      </c>
      <c r="V5" t="s">
        <v>10</v>
      </c>
      <c r="W5" s="2">
        <f>W12*SQRT(1-W6^2)</f>
        <v>5.3979561904930975</v>
      </c>
      <c r="X5" s="2">
        <f>W12*SQRT(1-W6^2)</f>
        <v>5.3979561904930975</v>
      </c>
      <c r="Y5" s="2">
        <f>W12*SQRT(1-W6^2)</f>
        <v>5.3979561904930975</v>
      </c>
    </row>
    <row r="6" spans="1:25" ht="155.25" customHeight="1" x14ac:dyDescent="0.45">
      <c r="A6" s="5" t="s">
        <v>11</v>
      </c>
      <c r="B6" s="5" t="s">
        <v>12</v>
      </c>
      <c r="C6" s="5" t="s">
        <v>13</v>
      </c>
      <c r="D6" s="5" t="s">
        <v>14</v>
      </c>
      <c r="E6" s="5" t="s">
        <v>15</v>
      </c>
      <c r="F6" s="5" t="s">
        <v>16</v>
      </c>
      <c r="G6" s="5" t="s">
        <v>17</v>
      </c>
      <c r="H6" s="5" t="s">
        <v>18</v>
      </c>
      <c r="I6" s="5" t="s">
        <v>19</v>
      </c>
      <c r="J6" s="5" t="s">
        <v>20</v>
      </c>
      <c r="K6" s="5" t="s">
        <v>21</v>
      </c>
      <c r="L6" s="5" t="s">
        <v>22</v>
      </c>
      <c r="M6" s="5" t="s">
        <v>23</v>
      </c>
      <c r="N6" s="5" t="s">
        <v>24</v>
      </c>
      <c r="O6" s="5" t="s">
        <v>25</v>
      </c>
      <c r="P6" s="5" t="s">
        <v>26</v>
      </c>
      <c r="Q6" s="5" t="s">
        <v>27</v>
      </c>
      <c r="R6" t="s">
        <v>28</v>
      </c>
      <c r="S6" s="1">
        <v>0.08</v>
      </c>
      <c r="V6" t="s">
        <v>29</v>
      </c>
      <c r="W6" s="2">
        <f>S8/2*SQRT(W11/(2*S10*S11*S13*S14))</f>
        <v>0.67954649545888013</v>
      </c>
      <c r="X6" s="2">
        <f>T8/2*SQRT(X11/(2*T10*S11*S13*S14))</f>
        <v>0.48624389046969863</v>
      </c>
      <c r="Y6" s="2">
        <f>U8/2*SQRT(Y11/(2*U10*S11*S13*S14))</f>
        <v>0.89328706664738544</v>
      </c>
    </row>
    <row r="7" spans="1:25" x14ac:dyDescent="0.45">
      <c r="A7">
        <v>0</v>
      </c>
      <c r="B7">
        <f>B9-Tunnel</f>
        <v>-0.61762480938978259</v>
      </c>
      <c r="C7">
        <f>C9</f>
        <v>0.72762480938978247</v>
      </c>
      <c r="D7">
        <f>P0</f>
        <v>0.08</v>
      </c>
      <c r="E7">
        <f t="shared" ref="E7:E70" si="0">P0-SIGN(DeltaThetaDeg)*EXP(-Xi*Wn*A7)*(COS(Wd*A7)-(Xi*Wn-1)/(Wd)*SIN(Wd*A7))*Ppeak</f>
        <v>0.47841653959318836</v>
      </c>
      <c r="F7">
        <f t="shared" ref="F7:F70" si="1">P0-SIGN(DeltaThetaDeg)*EXP(-Ximin*Wnmin*A7)*(COS(Wdmin*A7)-(Ximin*Wnmin-1)/(Wdmin)*SIN(Wdmin*A7))*Ppeak</f>
        <v>0.47841653959318836</v>
      </c>
      <c r="G7">
        <f t="shared" ref="G7:G70" si="2">P0-SIGN(DeltaThetaDeg)*EXP(-Ximax*Wnmax*A7)*(COS(Wdmax*A7)-(Ximax*Wnmax-1)/(Wdmax)*SIN(Wdmax*A7))*Ppeak</f>
        <v>0.47841653959318836</v>
      </c>
      <c r="H7">
        <f>P0</f>
        <v>0.08</v>
      </c>
      <c r="I7">
        <f>P0</f>
        <v>0.08</v>
      </c>
      <c r="J7">
        <f t="shared" ref="J7:J70" si="3">P0-SIGN(DeltaThetaDeg)*(1+Marge_haute)*EXP(-Xi*Wn*A7)*(COS(Wd*A7)-(Xi*Wn-1)/(Wd)*SIN(Wd*A7))*Ppeak</f>
        <v>0.67762480938978242</v>
      </c>
      <c r="K7">
        <f t="shared" ref="K7:K70" si="4">J7-SIGN(DeltaThetaDeg)*Tunnel</f>
        <v>0.72762480938978247</v>
      </c>
      <c r="L7">
        <f t="shared" ref="L7:L70" si="5">J7+SIGN(DeltaThetaDeg)*Tunnel</f>
        <v>0.62762480938978238</v>
      </c>
      <c r="M7">
        <f>P0</f>
        <v>0.08</v>
      </c>
      <c r="N7">
        <f>M7</f>
        <v>0.08</v>
      </c>
      <c r="O7">
        <f t="shared" ref="O7:O70" si="6">IF(SIGN(DeltaThetaDeg)=1,MIN(B7,$S$6-SIGN(DeltaThetaDeg)*$W$13,F7),MAX(G7,P0+Tunnel,C7))</f>
        <v>0.72762480938978247</v>
      </c>
      <c r="P7">
        <f>IF(EMT_simulation,N7,N7)</f>
        <v>0.08</v>
      </c>
      <c r="Q7">
        <f>IF(EMT_simulation,O7,O7)</f>
        <v>0.72762480938978247</v>
      </c>
      <c r="R7" t="s">
        <v>30</v>
      </c>
      <c r="S7" s="1">
        <v>2</v>
      </c>
      <c r="V7" t="s">
        <v>31</v>
      </c>
      <c r="W7" s="2">
        <f>ABS($S5)*PI()/180</f>
        <v>0.23108159296404923</v>
      </c>
      <c r="X7" s="2">
        <f t="shared" ref="X7:Y7" si="7">ABS($S5)*PI()/180</f>
        <v>0.23108159296404923</v>
      </c>
      <c r="Y7" s="2">
        <f t="shared" si="7"/>
        <v>0.23108159296404923</v>
      </c>
    </row>
    <row r="8" spans="1:25" x14ac:dyDescent="0.45">
      <c r="A8">
        <v>5.0000000000000001E-3</v>
      </c>
      <c r="B8">
        <f>B9-Tunnel</f>
        <v>-0.61762480938978259</v>
      </c>
      <c r="C8">
        <f>C9</f>
        <v>0.72762480938978247</v>
      </c>
      <c r="D8">
        <f>P0</f>
        <v>0.08</v>
      </c>
      <c r="E8">
        <f t="shared" si="0"/>
        <v>0.46066743019841644</v>
      </c>
      <c r="F8">
        <f t="shared" si="1"/>
        <v>0.46763730545568544</v>
      </c>
      <c r="G8">
        <f t="shared" si="2"/>
        <v>0.45227593275604761</v>
      </c>
      <c r="H8">
        <f>P0</f>
        <v>0.08</v>
      </c>
      <c r="I8">
        <f>P0</f>
        <v>0.08</v>
      </c>
      <c r="J8">
        <f t="shared" si="3"/>
        <v>0.65100114529762465</v>
      </c>
      <c r="K8">
        <f t="shared" si="4"/>
        <v>0.70100114529762469</v>
      </c>
      <c r="L8">
        <f t="shared" si="5"/>
        <v>0.60100114529762461</v>
      </c>
      <c r="M8">
        <f>P0</f>
        <v>0.08</v>
      </c>
      <c r="N8">
        <f t="shared" ref="N8:N11" si="8">M8</f>
        <v>0.08</v>
      </c>
      <c r="O8">
        <f t="shared" si="6"/>
        <v>0.72762480938978247</v>
      </c>
      <c r="P8">
        <f>IF(EMT_simulation,N8,N8)</f>
        <v>0.08</v>
      </c>
      <c r="Q8">
        <f>IF(EMT_simulation,O8,O8)</f>
        <v>0.72762480938978247</v>
      </c>
      <c r="R8" t="s">
        <v>32</v>
      </c>
      <c r="S8" s="1">
        <v>100</v>
      </c>
      <c r="T8" s="6">
        <f>S8*T3</f>
        <v>80</v>
      </c>
      <c r="U8" s="6">
        <f>S8*U3</f>
        <v>120</v>
      </c>
      <c r="V8" t="s">
        <v>33</v>
      </c>
      <c r="W8" s="2">
        <f>W7*S13*S14/W11</f>
        <v>0.39841653959318835</v>
      </c>
      <c r="X8" s="2">
        <f>W7*S13*S14/W11</f>
        <v>0.39841653959318835</v>
      </c>
      <c r="Y8" s="2">
        <f>W7*S13*S14/W11</f>
        <v>0.39841653959318835</v>
      </c>
    </row>
    <row r="9" spans="1:25" x14ac:dyDescent="0.45">
      <c r="A9">
        <v>0.01</v>
      </c>
      <c r="B9">
        <f t="shared" ref="B9:B72" si="9">P0-Ppeak*(1+Marge_haute)*EXP(-Sigma*A7)-Tunnel</f>
        <v>-0.56762480938978255</v>
      </c>
      <c r="C9">
        <f>P0+Ppeak*(1+Marge_haute)*EXP(-Sigma*A7)+Tunnel</f>
        <v>0.72762480938978247</v>
      </c>
      <c r="D9">
        <f t="shared" ref="D9:D72" si="10">P0-SIGN(DeltaThetaDeg)*Marge_basse*Ppeak*EXP(-Sigma*A7)</f>
        <v>0.23936661583727536</v>
      </c>
      <c r="E9">
        <f t="shared" si="0"/>
        <v>0.4432814664085456</v>
      </c>
      <c r="F9">
        <f t="shared" si="1"/>
        <v>0.4568220093075972</v>
      </c>
      <c r="G9">
        <f t="shared" si="2"/>
        <v>0.42722425166366684</v>
      </c>
      <c r="H9">
        <f t="shared" ref="H9:H72" si="11">P0-SIGN(DeltaThetaDeg)*EXP(-Xi*Wn*A7)*(COS(Wd*A7)-(Xi*Wn-1)/(Wd)*SIN(Wd*A7))*Ppeak</f>
        <v>0.47841653959318836</v>
      </c>
      <c r="I9">
        <f t="shared" ref="I9:I72" si="12">P0-SIGN(DeltaThetaDeg)*(1+Marge_haute)*EXP(-Xi*Wn*A7)*(COS(Wd*A7)-(Xi*Wn-1)/(Wd)*SIN(Wd*A7))*Ppeak</f>
        <v>0.67762480938978242</v>
      </c>
      <c r="J9">
        <f t="shared" si="3"/>
        <v>0.62492219961281836</v>
      </c>
      <c r="K9">
        <f t="shared" si="4"/>
        <v>0.67492219961281841</v>
      </c>
      <c r="L9">
        <f t="shared" si="5"/>
        <v>0.57492219961281832</v>
      </c>
      <c r="M9">
        <f t="shared" ref="M9:M72" si="13">P0-SIGN(DeltaThetaDeg)*Marge_basse*EXP(-Xi*Wn*A7)*(COS(Wd*A7)-(Xi*Wn-1)/(Wd)*SIN(Wd*A7))*Ppeak</f>
        <v>0.23936661583727536</v>
      </c>
      <c r="N9">
        <f t="shared" si="8"/>
        <v>0.23936661583727536</v>
      </c>
      <c r="O9">
        <f t="shared" si="6"/>
        <v>0.72762480938978247</v>
      </c>
      <c r="P9">
        <f>IF(EMT_simulation,N7,N9)</f>
        <v>0.08</v>
      </c>
      <c r="Q9">
        <f>IF(EMT_simulation,O7,O9)</f>
        <v>0.72762480938978247</v>
      </c>
      <c r="R9" t="s">
        <v>34</v>
      </c>
      <c r="S9" s="1">
        <v>0.08</v>
      </c>
      <c r="T9" s="6"/>
      <c r="U9" s="6"/>
      <c r="V9" t="s">
        <v>35</v>
      </c>
      <c r="W9" s="2">
        <f>W10/W12</f>
        <v>0.67954649545888013</v>
      </c>
      <c r="X9" s="2">
        <f>X10/X12</f>
        <v>0.48624389046969857</v>
      </c>
      <c r="Y9" s="2">
        <f>Y10/Y12</f>
        <v>0.89328706664738533</v>
      </c>
    </row>
    <row r="10" spans="1:25" x14ac:dyDescent="0.45">
      <c r="A10">
        <v>1.4999999999999999E-2</v>
      </c>
      <c r="B10">
        <f t="shared" si="9"/>
        <v>-0.5528694002718979</v>
      </c>
      <c r="C10">
        <f t="shared" ref="C10:C72" si="14">P0+Ppeak*(1+Marge_haute)*EXP(-Sigma*A8)+Tunnel</f>
        <v>0.71286940027189782</v>
      </c>
      <c r="D10">
        <f t="shared" si="10"/>
        <v>0.23543184007250612</v>
      </c>
      <c r="E10">
        <f t="shared" si="0"/>
        <v>0.42626388722580788</v>
      </c>
      <c r="F10">
        <f t="shared" si="1"/>
        <v>0.44598226455401691</v>
      </c>
      <c r="G10">
        <f t="shared" si="2"/>
        <v>0.40323477446967937</v>
      </c>
      <c r="H10">
        <f t="shared" si="11"/>
        <v>0.46066743019841644</v>
      </c>
      <c r="I10">
        <f t="shared" si="12"/>
        <v>0.65100114529762465</v>
      </c>
      <c r="J10">
        <f t="shared" si="3"/>
        <v>0.59939583083871173</v>
      </c>
      <c r="K10">
        <f t="shared" si="4"/>
        <v>0.64939583083871177</v>
      </c>
      <c r="L10">
        <f t="shared" si="5"/>
        <v>0.54939583083871169</v>
      </c>
      <c r="M10">
        <f t="shared" si="13"/>
        <v>0.23226697207936658</v>
      </c>
      <c r="N10">
        <f t="shared" si="8"/>
        <v>0.23226697207936658</v>
      </c>
      <c r="O10">
        <f t="shared" si="6"/>
        <v>0.71286940027189782</v>
      </c>
      <c r="P10">
        <f>IF(EMT_simulation,N7,N10)</f>
        <v>0.08</v>
      </c>
      <c r="Q10">
        <f>IF(EMT_simulation,O7,O10)</f>
        <v>0.72762480938978247</v>
      </c>
      <c r="R10" t="s">
        <v>36</v>
      </c>
      <c r="S10" s="1">
        <v>5</v>
      </c>
      <c r="T10" s="6">
        <f>S10/T3</f>
        <v>6.25</v>
      </c>
      <c r="U10" s="6">
        <f>S10/U3</f>
        <v>4.166666666666667</v>
      </c>
      <c r="V10" t="s">
        <v>37</v>
      </c>
      <c r="W10" s="2">
        <f>S8/(4*S10)</f>
        <v>5</v>
      </c>
      <c r="X10" s="2">
        <f>T8/(4*T10)</f>
        <v>3.2</v>
      </c>
      <c r="Y10" s="2">
        <f>U8/(4*U10)</f>
        <v>7.1999999999999993</v>
      </c>
    </row>
    <row r="11" spans="1:25" x14ac:dyDescent="0.45">
      <c r="A11">
        <v>0.02</v>
      </c>
      <c r="B11">
        <f t="shared" si="9"/>
        <v>-0.5384783035031917</v>
      </c>
      <c r="C11">
        <f t="shared" si="14"/>
        <v>0.69847830350319173</v>
      </c>
      <c r="D11">
        <f t="shared" si="10"/>
        <v>0.23159421426751781</v>
      </c>
      <c r="E11">
        <f t="shared" si="0"/>
        <v>0.40961918986818058</v>
      </c>
      <c r="F11">
        <f t="shared" si="1"/>
        <v>0.43512934253964275</v>
      </c>
      <c r="G11">
        <f t="shared" si="2"/>
        <v>0.38028056123217624</v>
      </c>
      <c r="H11">
        <f t="shared" si="11"/>
        <v>0.4432814664085456</v>
      </c>
      <c r="I11">
        <f t="shared" si="12"/>
        <v>0.62492219961281836</v>
      </c>
      <c r="J11">
        <f t="shared" si="3"/>
        <v>0.57442878480227089</v>
      </c>
      <c r="K11">
        <f t="shared" si="4"/>
        <v>0.62442878480227093</v>
      </c>
      <c r="L11">
        <f t="shared" si="5"/>
        <v>0.52442878480227084</v>
      </c>
      <c r="M11">
        <f t="shared" si="13"/>
        <v>0.22531258656341824</v>
      </c>
      <c r="N11">
        <f t="shared" si="8"/>
        <v>0.22531258656341824</v>
      </c>
      <c r="O11">
        <f t="shared" si="6"/>
        <v>0.69847830350319173</v>
      </c>
      <c r="P11">
        <f t="shared" ref="P11:P74" si="15">IF(EMT_simulation,N7,N11)</f>
        <v>0.08</v>
      </c>
      <c r="Q11">
        <f t="shared" ref="Q11:Q74" si="16">IF(EMT_simulation,O7,O11)</f>
        <v>0.72762480938978247</v>
      </c>
      <c r="R11" t="s">
        <v>38</v>
      </c>
      <c r="S11" s="1">
        <v>314</v>
      </c>
      <c r="V11" t="s">
        <v>39</v>
      </c>
      <c r="W11" s="2">
        <f>S9+W14+S12</f>
        <v>0.57999999999999996</v>
      </c>
      <c r="X11" s="2">
        <f>S9+W14+S12</f>
        <v>0.57999999999999996</v>
      </c>
      <c r="Y11" s="2">
        <f>S9+W14+S12</f>
        <v>0.57999999999999996</v>
      </c>
    </row>
    <row r="12" spans="1:25" x14ac:dyDescent="0.45">
      <c r="A12">
        <v>2.5000000000000001E-2</v>
      </c>
      <c r="B12">
        <f t="shared" si="9"/>
        <v>-0.5244425241797136</v>
      </c>
      <c r="C12">
        <f t="shared" si="14"/>
        <v>0.68444252417971363</v>
      </c>
      <c r="D12">
        <f t="shared" si="10"/>
        <v>0.22785133978125699</v>
      </c>
      <c r="E12">
        <f t="shared" si="0"/>
        <v>0.39335116001021259</v>
      </c>
      <c r="F12">
        <f t="shared" si="1"/>
        <v>0.42427417240192727</v>
      </c>
      <c r="G12">
        <f t="shared" si="2"/>
        <v>0.35833452167714924</v>
      </c>
      <c r="H12">
        <f t="shared" si="11"/>
        <v>0.42626388722580788</v>
      </c>
      <c r="I12">
        <f t="shared" si="12"/>
        <v>0.59939583083871173</v>
      </c>
      <c r="J12">
        <f t="shared" si="3"/>
        <v>0.55002674001531893</v>
      </c>
      <c r="K12">
        <f t="shared" si="4"/>
        <v>0.60002674001531897</v>
      </c>
      <c r="L12">
        <f t="shared" si="5"/>
        <v>0.50002674001531888</v>
      </c>
      <c r="M12">
        <f t="shared" si="13"/>
        <v>0.21850555489032314</v>
      </c>
      <c r="N12">
        <f>IF(SIGN(DeltaThetaDeg)=1,MAX(M12,G12),P0-SIGN(DeltaThetaDeg)*MIN(ABS(M12-P0),ABS(F12-P0)))</f>
        <v>0.21850555489032314</v>
      </c>
      <c r="O12">
        <f t="shared" si="6"/>
        <v>0.68444252417971363</v>
      </c>
      <c r="P12">
        <f t="shared" si="15"/>
        <v>0.08</v>
      </c>
      <c r="Q12">
        <f t="shared" si="16"/>
        <v>0.72762480938978247</v>
      </c>
      <c r="R12" t="s">
        <v>40</v>
      </c>
      <c r="S12" s="1">
        <v>0</v>
      </c>
      <c r="V12" t="s">
        <v>41</v>
      </c>
      <c r="W12" s="2">
        <f>SQRT(S11*S14*S13/(2*S10*W11))</f>
        <v>7.3578482611754614</v>
      </c>
      <c r="X12" s="2">
        <f>SQRT(S11*S14*S13/(2*T10*W11))</f>
        <v>6.5810595520467841</v>
      </c>
      <c r="Y12" s="2">
        <f>SQRT(S11*S14*S13/(2*U10*W11))</f>
        <v>8.0601189346919266</v>
      </c>
    </row>
    <row r="13" spans="1:25" x14ac:dyDescent="0.45">
      <c r="A13">
        <v>0.03</v>
      </c>
      <c r="B13">
        <f t="shared" si="9"/>
        <v>-0.51075328948248322</v>
      </c>
      <c r="C13">
        <f t="shared" si="14"/>
        <v>0.67075328948248325</v>
      </c>
      <c r="D13">
        <f t="shared" si="10"/>
        <v>0.22420087719532888</v>
      </c>
      <c r="E13">
        <f t="shared" si="0"/>
        <v>0.37746290148824035</v>
      </c>
      <c r="F13">
        <f t="shared" si="1"/>
        <v>0.41342734126037639</v>
      </c>
      <c r="G13">
        <f t="shared" si="2"/>
        <v>0.33736947854806126</v>
      </c>
      <c r="H13">
        <f t="shared" si="11"/>
        <v>0.40961918986818058</v>
      </c>
      <c r="I13">
        <f t="shared" si="12"/>
        <v>0.57442878480227089</v>
      </c>
      <c r="J13">
        <f t="shared" si="3"/>
        <v>0.52619435223236055</v>
      </c>
      <c r="K13">
        <f t="shared" si="4"/>
        <v>0.5761943522323606</v>
      </c>
      <c r="L13">
        <f t="shared" si="5"/>
        <v>0.47619435223236056</v>
      </c>
      <c r="M13">
        <f t="shared" si="13"/>
        <v>0.21184767594727222</v>
      </c>
      <c r="N13">
        <f t="shared" ref="N13:N76" si="17">IF(SIGN(DeltaThetaDeg)=1,MAX(D13:M13),MIN(F13:M13))</f>
        <v>0.21184767594727222</v>
      </c>
      <c r="O13">
        <f t="shared" si="6"/>
        <v>0.67075328948248325</v>
      </c>
      <c r="P13">
        <f t="shared" si="15"/>
        <v>0.23936661583727536</v>
      </c>
      <c r="Q13">
        <f t="shared" si="16"/>
        <v>0.72762480938978247</v>
      </c>
      <c r="R13" t="s">
        <v>42</v>
      </c>
      <c r="S13" s="1">
        <v>1</v>
      </c>
      <c r="V13" t="s">
        <v>43</v>
      </c>
      <c r="W13" s="2">
        <f>MAX($S16,$S15*Ppeak)</f>
        <v>0.05</v>
      </c>
      <c r="X13" s="2">
        <f>MAX($S16,$S15*Ppeak)</f>
        <v>0.05</v>
      </c>
      <c r="Y13" s="2">
        <f>MAX($S16,$S15*Ppeak)</f>
        <v>0.05</v>
      </c>
    </row>
    <row r="14" spans="1:25" x14ac:dyDescent="0.45">
      <c r="A14">
        <v>3.5000000000000003E-2</v>
      </c>
      <c r="B14">
        <f t="shared" si="9"/>
        <v>-0.49740204319419223</v>
      </c>
      <c r="C14">
        <f t="shared" si="14"/>
        <v>0.65740204319419226</v>
      </c>
      <c r="D14">
        <f t="shared" si="10"/>
        <v>0.22064054485178464</v>
      </c>
      <c r="E14">
        <f t="shared" si="0"/>
        <v>0.36195686545690359</v>
      </c>
      <c r="F14">
        <f t="shared" si="1"/>
        <v>0.40259909473122807</v>
      </c>
      <c r="G14">
        <f t="shared" si="2"/>
        <v>0.31735822672445069</v>
      </c>
      <c r="H14">
        <f t="shared" si="11"/>
        <v>0.39335116001021259</v>
      </c>
      <c r="I14">
        <f t="shared" si="12"/>
        <v>0.55002674001531893</v>
      </c>
      <c r="J14">
        <f t="shared" si="3"/>
        <v>0.50293529818535543</v>
      </c>
      <c r="K14">
        <f t="shared" si="4"/>
        <v>0.55293529818535547</v>
      </c>
      <c r="L14">
        <f t="shared" si="5"/>
        <v>0.45293529818535544</v>
      </c>
      <c r="M14">
        <f t="shared" si="13"/>
        <v>0.20534046400408507</v>
      </c>
      <c r="N14">
        <f t="shared" si="17"/>
        <v>0.20534046400408507</v>
      </c>
      <c r="O14">
        <f t="shared" si="6"/>
        <v>0.65740204319419226</v>
      </c>
      <c r="P14">
        <f t="shared" si="15"/>
        <v>0.23226697207936658</v>
      </c>
      <c r="Q14">
        <f t="shared" si="16"/>
        <v>0.71286940027189782</v>
      </c>
      <c r="R14" t="s">
        <v>44</v>
      </c>
      <c r="S14" s="1">
        <v>1</v>
      </c>
      <c r="V14" t="s">
        <v>45</v>
      </c>
      <c r="W14" s="2">
        <f>1/S7</f>
        <v>0.5</v>
      </c>
      <c r="X14" s="2">
        <f>1/S7</f>
        <v>0.5</v>
      </c>
      <c r="Y14" s="2">
        <f>1/S7</f>
        <v>0.5</v>
      </c>
    </row>
    <row r="15" spans="1:25" x14ac:dyDescent="0.45">
      <c r="A15">
        <v>0.04</v>
      </c>
      <c r="B15">
        <f t="shared" si="9"/>
        <v>-0.48438044035129058</v>
      </c>
      <c r="C15">
        <f t="shared" si="14"/>
        <v>0.64438044035129061</v>
      </c>
      <c r="D15">
        <f t="shared" si="10"/>
        <v>0.21716811742701086</v>
      </c>
      <c r="E15">
        <f t="shared" si="0"/>
        <v>0.34683487898523363</v>
      </c>
      <c r="F15">
        <f t="shared" si="1"/>
        <v>0.3917993377567659</v>
      </c>
      <c r="G15">
        <f t="shared" si="2"/>
        <v>0.29827358828803729</v>
      </c>
      <c r="H15">
        <f t="shared" si="11"/>
        <v>0.37746290148824035</v>
      </c>
      <c r="I15">
        <f t="shared" si="12"/>
        <v>0.52619435223236055</v>
      </c>
      <c r="J15">
        <f t="shared" si="3"/>
        <v>0.48025231847785044</v>
      </c>
      <c r="K15">
        <f t="shared" si="4"/>
        <v>0.53025231847785048</v>
      </c>
      <c r="L15">
        <f t="shared" si="5"/>
        <v>0.43025231847785045</v>
      </c>
      <c r="M15">
        <f t="shared" si="13"/>
        <v>0.19898516059529617</v>
      </c>
      <c r="N15">
        <f t="shared" si="17"/>
        <v>0.19898516059529617</v>
      </c>
      <c r="O15">
        <f t="shared" si="6"/>
        <v>0.64438044035129061</v>
      </c>
      <c r="P15">
        <f t="shared" si="15"/>
        <v>0.22531258656341824</v>
      </c>
      <c r="Q15">
        <f t="shared" si="16"/>
        <v>0.69847830350319173</v>
      </c>
      <c r="R15" t="s">
        <v>46</v>
      </c>
      <c r="S15" s="4">
        <v>0.05</v>
      </c>
      <c r="V15" t="s">
        <v>33</v>
      </c>
      <c r="W15" s="2">
        <f>W7*S13*S14/W11</f>
        <v>0.39841653959318835</v>
      </c>
      <c r="X15" s="2">
        <f>W7*S13*S14/W11</f>
        <v>0.39841653959318835</v>
      </c>
      <c r="Y15" s="2">
        <f>W7*S13*S14/W11</f>
        <v>0.39841653959318835</v>
      </c>
    </row>
    <row r="16" spans="1:25" x14ac:dyDescent="0.45">
      <c r="A16">
        <v>4.4999999999999998E-2</v>
      </c>
      <c r="B16">
        <f t="shared" si="9"/>
        <v>-0.47168034202811215</v>
      </c>
      <c r="C16">
        <f t="shared" si="14"/>
        <v>0.63168034202811219</v>
      </c>
      <c r="D16">
        <f t="shared" si="10"/>
        <v>0.21378142454082993</v>
      </c>
      <c r="E16">
        <f t="shared" si="0"/>
        <v>0.33209817308189965</v>
      </c>
      <c r="F16">
        <f t="shared" si="1"/>
        <v>0.38103763573855282</v>
      </c>
      <c r="G16">
        <f t="shared" si="2"/>
        <v>0.28008846371030938</v>
      </c>
      <c r="H16">
        <f t="shared" si="11"/>
        <v>0.36195686545690359</v>
      </c>
      <c r="I16">
        <f t="shared" si="12"/>
        <v>0.50293529818535543</v>
      </c>
      <c r="J16">
        <f t="shared" si="3"/>
        <v>0.45814725962284941</v>
      </c>
      <c r="K16">
        <f t="shared" si="4"/>
        <v>0.50814725962284946</v>
      </c>
      <c r="L16">
        <f t="shared" si="5"/>
        <v>0.40814725962284942</v>
      </c>
      <c r="M16">
        <f t="shared" si="13"/>
        <v>0.19278274618276145</v>
      </c>
      <c r="N16">
        <f t="shared" si="17"/>
        <v>0.19278274618276145</v>
      </c>
      <c r="O16">
        <f t="shared" si="6"/>
        <v>0.63168034202811219</v>
      </c>
      <c r="P16">
        <f t="shared" si="15"/>
        <v>0.21850555489032314</v>
      </c>
      <c r="Q16">
        <f t="shared" si="16"/>
        <v>0.68444252417971363</v>
      </c>
      <c r="R16" t="s">
        <v>47</v>
      </c>
      <c r="S16" s="4">
        <v>0.05</v>
      </c>
    </row>
    <row r="17" spans="1:22" x14ac:dyDescent="0.45">
      <c r="A17">
        <v>0.05</v>
      </c>
      <c r="B17">
        <f t="shared" si="9"/>
        <v>-0.45929381024978189</v>
      </c>
      <c r="C17">
        <f t="shared" si="14"/>
        <v>0.61929381024978192</v>
      </c>
      <c r="D17">
        <f t="shared" si="10"/>
        <v>0.21047834939994187</v>
      </c>
      <c r="E17">
        <f t="shared" si="0"/>
        <v>0.31774741014045932</v>
      </c>
      <c r="F17">
        <f t="shared" si="1"/>
        <v>0.37032321596391882</v>
      </c>
      <c r="G17">
        <f t="shared" si="2"/>
        <v>0.2627758793310645</v>
      </c>
      <c r="H17">
        <f t="shared" si="11"/>
        <v>0.34683487898523363</v>
      </c>
      <c r="I17">
        <f t="shared" si="12"/>
        <v>0.48025231847785044</v>
      </c>
      <c r="J17">
        <f t="shared" si="3"/>
        <v>0.43662111521068903</v>
      </c>
      <c r="K17">
        <f t="shared" si="4"/>
        <v>0.48662111521068901</v>
      </c>
      <c r="L17">
        <f t="shared" si="5"/>
        <v>0.38662111521068904</v>
      </c>
      <c r="M17">
        <f t="shared" si="13"/>
        <v>0.18673395159409345</v>
      </c>
      <c r="N17">
        <f t="shared" si="17"/>
        <v>0.18673395159409345</v>
      </c>
      <c r="O17">
        <f t="shared" si="6"/>
        <v>0.61929381024978192</v>
      </c>
      <c r="P17">
        <f t="shared" si="15"/>
        <v>0.21184767594727222</v>
      </c>
      <c r="Q17">
        <f t="shared" si="16"/>
        <v>0.67075328948248325</v>
      </c>
      <c r="R17" t="s">
        <v>48</v>
      </c>
      <c r="S17" s="1">
        <v>0.5</v>
      </c>
    </row>
    <row r="18" spans="1:22" x14ac:dyDescent="0.45">
      <c r="A18">
        <v>5.5E-2</v>
      </c>
      <c r="B18">
        <f t="shared" si="9"/>
        <v>-0.44721310303072254</v>
      </c>
      <c r="C18">
        <f t="shared" si="14"/>
        <v>0.60721310303072262</v>
      </c>
      <c r="D18">
        <f t="shared" si="10"/>
        <v>0.20725682747485935</v>
      </c>
      <c r="E18">
        <f t="shared" si="0"/>
        <v>0.30378271079667274</v>
      </c>
      <c r="F18">
        <f t="shared" si="1"/>
        <v>0.35966496931508229</v>
      </c>
      <c r="G18">
        <f t="shared" si="2"/>
        <v>0.24630903129284221</v>
      </c>
      <c r="H18">
        <f t="shared" si="11"/>
        <v>0.33209817308189965</v>
      </c>
      <c r="I18">
        <f t="shared" si="12"/>
        <v>0.45814725962284941</v>
      </c>
      <c r="J18">
        <f t="shared" si="3"/>
        <v>0.41567406619500918</v>
      </c>
      <c r="K18">
        <f t="shared" si="4"/>
        <v>0.46567406619500917</v>
      </c>
      <c r="L18">
        <f t="shared" si="5"/>
        <v>0.3656740661950092</v>
      </c>
      <c r="M18">
        <f t="shared" si="13"/>
        <v>0.18083926923275984</v>
      </c>
      <c r="N18">
        <f>IF(SIGN(DeltaThetaDeg)=1,MAX(D18:M18),MIN(F18:M18))</f>
        <v>0.18083926923275984</v>
      </c>
      <c r="O18">
        <f t="shared" si="6"/>
        <v>0.60721310303072262</v>
      </c>
      <c r="P18">
        <f t="shared" si="15"/>
        <v>0.20534046400408507</v>
      </c>
      <c r="Q18">
        <f t="shared" si="16"/>
        <v>0.65740204319419226</v>
      </c>
      <c r="R18" t="s">
        <v>49</v>
      </c>
      <c r="S18" s="1">
        <v>0.4</v>
      </c>
    </row>
    <row r="19" spans="1:22" x14ac:dyDescent="0.45">
      <c r="A19">
        <v>0.06</v>
      </c>
      <c r="B19">
        <f t="shared" si="9"/>
        <v>-0.43543066953566162</v>
      </c>
      <c r="C19">
        <f t="shared" si="14"/>
        <v>0.59543066953566171</v>
      </c>
      <c r="D19">
        <f t="shared" si="10"/>
        <v>0.20411484520950979</v>
      </c>
      <c r="E19">
        <f t="shared" si="0"/>
        <v>0.2902036801910996</v>
      </c>
      <c r="F19">
        <f t="shared" si="1"/>
        <v>0.34907145225035019</v>
      </c>
      <c r="G19">
        <f t="shared" si="2"/>
        <v>0.23066132609165391</v>
      </c>
      <c r="H19">
        <f t="shared" si="11"/>
        <v>0.31774741014045932</v>
      </c>
      <c r="I19">
        <f t="shared" si="12"/>
        <v>0.43662111521068903</v>
      </c>
      <c r="J19">
        <f t="shared" si="3"/>
        <v>0.39530552028664939</v>
      </c>
      <c r="K19">
        <f t="shared" si="4"/>
        <v>0.44530552028664938</v>
      </c>
      <c r="L19">
        <f t="shared" si="5"/>
        <v>0.3453055202866494</v>
      </c>
      <c r="M19">
        <f t="shared" si="13"/>
        <v>0.17509896405618375</v>
      </c>
      <c r="N19">
        <f t="shared" si="17"/>
        <v>0.17509896405618375</v>
      </c>
      <c r="O19">
        <f t="shared" si="6"/>
        <v>0.59543066953566171</v>
      </c>
      <c r="P19">
        <f t="shared" si="15"/>
        <v>0.19898516059529617</v>
      </c>
      <c r="Q19">
        <f t="shared" si="16"/>
        <v>0.64438044035129061</v>
      </c>
    </row>
    <row r="20" spans="1:22" x14ac:dyDescent="0.45">
      <c r="A20">
        <v>6.5000000000000002E-2</v>
      </c>
      <c r="B20">
        <f t="shared" si="9"/>
        <v>-0.42393914536011412</v>
      </c>
      <c r="C20">
        <f t="shared" si="14"/>
        <v>0.58393914536011415</v>
      </c>
      <c r="D20">
        <f t="shared" si="10"/>
        <v>0.20105043876269713</v>
      </c>
      <c r="E20">
        <f t="shared" si="0"/>
        <v>0.27700943363131969</v>
      </c>
      <c r="F20">
        <f t="shared" si="1"/>
        <v>0.33855088904690667</v>
      </c>
      <c r="G20">
        <f t="shared" si="2"/>
        <v>0.21580641789987892</v>
      </c>
      <c r="H20">
        <f t="shared" si="11"/>
        <v>0.30378271079667274</v>
      </c>
      <c r="I20">
        <f t="shared" si="12"/>
        <v>0.41567406619500918</v>
      </c>
      <c r="J20">
        <f t="shared" si="3"/>
        <v>0.37551415044697956</v>
      </c>
      <c r="K20">
        <f t="shared" si="4"/>
        <v>0.42551415044697954</v>
      </c>
      <c r="L20">
        <f t="shared" si="5"/>
        <v>0.32551415044697957</v>
      </c>
      <c r="M20">
        <f t="shared" si="13"/>
        <v>0.16951308431866913</v>
      </c>
      <c r="N20">
        <f t="shared" si="17"/>
        <v>0.16951308431866913</v>
      </c>
      <c r="O20">
        <f t="shared" si="6"/>
        <v>0.58393914536011415</v>
      </c>
      <c r="P20">
        <f>IF(EMT_simulation,N16,N20)</f>
        <v>0.19278274618276145</v>
      </c>
      <c r="Q20">
        <f t="shared" si="16"/>
        <v>0.63168034202811219</v>
      </c>
    </row>
    <row r="21" spans="1:22" x14ac:dyDescent="0.45">
      <c r="A21">
        <v>7.0000000000000007E-2</v>
      </c>
      <c r="B21">
        <f t="shared" si="9"/>
        <v>-0.41273134792738941</v>
      </c>
      <c r="C21">
        <f t="shared" si="14"/>
        <v>0.57273134792738944</v>
      </c>
      <c r="D21">
        <f t="shared" si="10"/>
        <v>0.19806169278063721</v>
      </c>
      <c r="E21">
        <f t="shared" si="0"/>
        <v>0.2641986216491809</v>
      </c>
      <c r="F21">
        <f t="shared" si="1"/>
        <v>0.3281111742947822</v>
      </c>
      <c r="G21">
        <f t="shared" si="2"/>
        <v>0.2017182428126707</v>
      </c>
      <c r="H21">
        <f t="shared" si="11"/>
        <v>0.2902036801910996</v>
      </c>
      <c r="I21">
        <f t="shared" si="12"/>
        <v>0.39530552028664939</v>
      </c>
      <c r="J21">
        <f t="shared" si="3"/>
        <v>0.35629793247377134</v>
      </c>
      <c r="K21">
        <f t="shared" si="4"/>
        <v>0.40629793247377133</v>
      </c>
      <c r="L21">
        <f t="shared" si="5"/>
        <v>0.30629793247377135</v>
      </c>
      <c r="M21">
        <f t="shared" si="13"/>
        <v>0.16408147207643986</v>
      </c>
      <c r="N21">
        <f t="shared" si="17"/>
        <v>0.16408147207643986</v>
      </c>
      <c r="O21">
        <f t="shared" si="6"/>
        <v>0.57273134792738944</v>
      </c>
      <c r="P21">
        <f t="shared" si="15"/>
        <v>0.18673395159409345</v>
      </c>
      <c r="Q21">
        <f t="shared" si="16"/>
        <v>0.61929381024978192</v>
      </c>
    </row>
    <row r="22" spans="1:22" x14ac:dyDescent="0.45">
      <c r="A22">
        <v>7.4999999999999997E-2</v>
      </c>
      <c r="B22">
        <f t="shared" si="9"/>
        <v>-0.40180027199924734</v>
      </c>
      <c r="C22">
        <f t="shared" si="14"/>
        <v>0.56180027199924742</v>
      </c>
      <c r="D22">
        <f t="shared" si="10"/>
        <v>0.1951467391997993</v>
      </c>
      <c r="E22">
        <f t="shared" si="0"/>
        <v>0.2517694544495041</v>
      </c>
      <c r="F22">
        <f t="shared" si="1"/>
        <v>0.31775987563167357</v>
      </c>
      <c r="G22">
        <f t="shared" si="2"/>
        <v>0.18837105016471323</v>
      </c>
      <c r="H22">
        <f t="shared" si="11"/>
        <v>0.27700943363131969</v>
      </c>
      <c r="I22">
        <f t="shared" si="12"/>
        <v>0.37551415044697956</v>
      </c>
      <c r="J22">
        <f t="shared" si="3"/>
        <v>0.33765418167425615</v>
      </c>
      <c r="K22">
        <f t="shared" si="4"/>
        <v>0.38765418167425614</v>
      </c>
      <c r="L22">
        <f t="shared" si="5"/>
        <v>0.28765418167425616</v>
      </c>
      <c r="M22">
        <f t="shared" si="13"/>
        <v>0.15880377345252789</v>
      </c>
      <c r="N22">
        <f t="shared" si="17"/>
        <v>0.15880377345252789</v>
      </c>
      <c r="O22">
        <f t="shared" si="6"/>
        <v>0.56180027199924742</v>
      </c>
      <c r="P22">
        <f t="shared" si="15"/>
        <v>0.18083926923275984</v>
      </c>
      <c r="Q22">
        <f t="shared" si="16"/>
        <v>0.60721310303072262</v>
      </c>
    </row>
    <row r="23" spans="1:22" x14ac:dyDescent="0.45">
      <c r="A23">
        <v>0.08</v>
      </c>
      <c r="B23">
        <f t="shared" si="9"/>
        <v>-0.39113908529739599</v>
      </c>
      <c r="C23">
        <f t="shared" si="14"/>
        <v>0.55113908529739608</v>
      </c>
      <c r="D23">
        <f t="shared" si="10"/>
        <v>0.19230375607930564</v>
      </c>
      <c r="E23">
        <f t="shared" si="0"/>
        <v>0.23971972574765182</v>
      </c>
      <c r="F23">
        <f t="shared" si="1"/>
        <v>0.3075042367083819</v>
      </c>
      <c r="G23">
        <f t="shared" si="2"/>
        <v>0.17573943105968709</v>
      </c>
      <c r="H23">
        <f t="shared" si="11"/>
        <v>0.2641986216491809</v>
      </c>
      <c r="I23">
        <f t="shared" si="12"/>
        <v>0.35629793247377134</v>
      </c>
      <c r="J23">
        <f t="shared" si="3"/>
        <v>0.31957958862147773</v>
      </c>
      <c r="K23">
        <f t="shared" si="4"/>
        <v>0.36957958862147772</v>
      </c>
      <c r="L23">
        <f t="shared" si="5"/>
        <v>0.26957958862147774</v>
      </c>
      <c r="M23">
        <f t="shared" si="13"/>
        <v>0.15367944865967237</v>
      </c>
      <c r="N23">
        <f t="shared" si="17"/>
        <v>0.15367944865967237</v>
      </c>
      <c r="O23">
        <f t="shared" si="6"/>
        <v>0.55113908529739608</v>
      </c>
      <c r="P23">
        <f t="shared" si="15"/>
        <v>0.17509896405618375</v>
      </c>
      <c r="Q23">
        <f t="shared" si="16"/>
        <v>0.59543066953566171</v>
      </c>
    </row>
    <row r="24" spans="1:22" x14ac:dyDescent="0.45">
      <c r="A24">
        <v>8.5000000000000006E-2</v>
      </c>
      <c r="B24">
        <f t="shared" si="9"/>
        <v>-0.38074112423309581</v>
      </c>
      <c r="C24">
        <f t="shared" si="14"/>
        <v>0.54074112423309584</v>
      </c>
      <c r="D24">
        <f t="shared" si="10"/>
        <v>0.18953096646215889</v>
      </c>
      <c r="E24">
        <f t="shared" si="0"/>
        <v>0.22804683599429842</v>
      </c>
      <c r="F24">
        <f t="shared" si="1"/>
        <v>0.29735118037473213</v>
      </c>
      <c r="G24">
        <f t="shared" si="2"/>
        <v>0.16379834425035877</v>
      </c>
      <c r="H24">
        <f t="shared" si="11"/>
        <v>0.2517694544495041</v>
      </c>
      <c r="I24">
        <f t="shared" si="12"/>
        <v>0.33765418167425615</v>
      </c>
      <c r="J24">
        <f t="shared" si="3"/>
        <v>0.3020702539914476</v>
      </c>
      <c r="K24">
        <f t="shared" si="4"/>
        <v>0.35207025399144759</v>
      </c>
      <c r="L24">
        <f t="shared" si="5"/>
        <v>0.25207025399144761</v>
      </c>
      <c r="M24">
        <f t="shared" si="13"/>
        <v>0.14870778177980165</v>
      </c>
      <c r="N24">
        <f t="shared" si="17"/>
        <v>0.14870778177980165</v>
      </c>
      <c r="O24">
        <f t="shared" si="6"/>
        <v>0.54074112423309584</v>
      </c>
      <c r="P24">
        <f t="shared" si="15"/>
        <v>0.16951308431866913</v>
      </c>
      <c r="Q24">
        <f t="shared" si="16"/>
        <v>0.58393914536011415</v>
      </c>
    </row>
    <row r="25" spans="1:22" x14ac:dyDescent="0.45">
      <c r="A25">
        <v>0.09</v>
      </c>
      <c r="B25">
        <f t="shared" si="9"/>
        <v>-0.37059988974219915</v>
      </c>
      <c r="C25">
        <f t="shared" si="14"/>
        <v>0.53059988974219918</v>
      </c>
      <c r="D25">
        <f t="shared" si="10"/>
        <v>0.18682663726458648</v>
      </c>
      <c r="E25">
        <f t="shared" si="0"/>
        <v>0.21674781498663309</v>
      </c>
      <c r="F25">
        <f t="shared" si="1"/>
        <v>0.28730731207594412</v>
      </c>
      <c r="G25">
        <f t="shared" si="2"/>
        <v>0.15252313950280111</v>
      </c>
      <c r="H25">
        <f t="shared" si="11"/>
        <v>0.23971972574765182</v>
      </c>
      <c r="I25">
        <f t="shared" si="12"/>
        <v>0.31957958862147773</v>
      </c>
      <c r="J25">
        <f t="shared" si="3"/>
        <v>0.28512172247994971</v>
      </c>
      <c r="K25">
        <f t="shared" si="4"/>
        <v>0.3351217224799497</v>
      </c>
      <c r="L25">
        <f t="shared" si="5"/>
        <v>0.23512172247994972</v>
      </c>
      <c r="M25">
        <f t="shared" si="13"/>
        <v>0.14388789029906074</v>
      </c>
      <c r="N25">
        <f t="shared" si="17"/>
        <v>0.14388789029906074</v>
      </c>
      <c r="O25">
        <f t="shared" si="6"/>
        <v>0.53059988974219918</v>
      </c>
      <c r="P25">
        <f t="shared" si="15"/>
        <v>0.16408147207643986</v>
      </c>
      <c r="Q25">
        <f t="shared" si="16"/>
        <v>0.57273134792738944</v>
      </c>
    </row>
    <row r="26" spans="1:22" x14ac:dyDescent="0.45">
      <c r="A26">
        <v>9.5000000000000001E-2</v>
      </c>
      <c r="B26">
        <f t="shared" si="9"/>
        <v>-0.360709043223024</v>
      </c>
      <c r="C26">
        <f t="shared" si="14"/>
        <v>0.52070904322302403</v>
      </c>
      <c r="D26">
        <f t="shared" si="10"/>
        <v>0.18418907819280644</v>
      </c>
      <c r="E26">
        <f t="shared" si="0"/>
        <v>0.20581934386607109</v>
      </c>
      <c r="F26">
        <f t="shared" si="1"/>
        <v>0.27737892344953674</v>
      </c>
      <c r="G26">
        <f t="shared" si="2"/>
        <v>0.14188957857388954</v>
      </c>
      <c r="H26">
        <f t="shared" si="11"/>
        <v>0.22804683599429842</v>
      </c>
      <c r="I26">
        <f t="shared" si="12"/>
        <v>0.3020702539914476</v>
      </c>
      <c r="J26">
        <f t="shared" si="3"/>
        <v>0.26872901579910663</v>
      </c>
      <c r="K26">
        <f t="shared" si="4"/>
        <v>0.31872901579910662</v>
      </c>
      <c r="L26">
        <f t="shared" si="5"/>
        <v>0.21872901579910664</v>
      </c>
      <c r="M26">
        <f t="shared" si="13"/>
        <v>0.13921873439771937</v>
      </c>
      <c r="N26">
        <f t="shared" si="17"/>
        <v>0.13921873439771937</v>
      </c>
      <c r="O26">
        <f t="shared" si="6"/>
        <v>0.52070904322302403</v>
      </c>
      <c r="P26">
        <f t="shared" si="15"/>
        <v>0.15880377345252789</v>
      </c>
      <c r="Q26">
        <f t="shared" si="16"/>
        <v>0.56180027199924742</v>
      </c>
    </row>
    <row r="27" spans="1:22" x14ac:dyDescent="0.45">
      <c r="A27">
        <v>0.1</v>
      </c>
      <c r="B27">
        <f t="shared" si="9"/>
        <v>-0.35106240257452159</v>
      </c>
      <c r="C27">
        <f t="shared" si="14"/>
        <v>0.51106240257452162</v>
      </c>
      <c r="D27">
        <f t="shared" si="10"/>
        <v>0.1816166406865391</v>
      </c>
      <c r="E27">
        <f t="shared" si="0"/>
        <v>0.19525777650335646</v>
      </c>
      <c r="F27">
        <f t="shared" si="1"/>
        <v>0.26757199611296517</v>
      </c>
      <c r="G27">
        <f t="shared" si="2"/>
        <v>0.13187385392691076</v>
      </c>
      <c r="H27">
        <f t="shared" si="11"/>
        <v>0.21674781498663309</v>
      </c>
      <c r="I27">
        <f t="shared" si="12"/>
        <v>0.28512172247994971</v>
      </c>
      <c r="J27">
        <f t="shared" si="3"/>
        <v>0.25288666475503468</v>
      </c>
      <c r="K27">
        <f t="shared" si="4"/>
        <v>0.30288666475503467</v>
      </c>
      <c r="L27">
        <f t="shared" si="5"/>
        <v>0.2028866647550347</v>
      </c>
      <c r="M27">
        <f t="shared" si="13"/>
        <v>0.13469912599465325</v>
      </c>
      <c r="N27">
        <f t="shared" si="17"/>
        <v>0.13187385392691076</v>
      </c>
      <c r="O27">
        <f t="shared" si="6"/>
        <v>0.51106240257452162</v>
      </c>
      <c r="P27">
        <f t="shared" si="15"/>
        <v>0.15367944865967237</v>
      </c>
      <c r="Q27">
        <f t="shared" si="16"/>
        <v>0.55113908529739608</v>
      </c>
    </row>
    <row r="28" spans="1:22" x14ac:dyDescent="0.45">
      <c r="A28">
        <v>0.105</v>
      </c>
      <c r="B28">
        <f t="shared" si="9"/>
        <v>-0.34165393833226171</v>
      </c>
      <c r="C28">
        <f t="shared" si="14"/>
        <v>0.5016539383322618</v>
      </c>
      <c r="D28">
        <f t="shared" si="10"/>
        <v>0.17910771688860316</v>
      </c>
      <c r="E28">
        <f t="shared" si="0"/>
        <v>0.18505916027270553</v>
      </c>
      <c r="F28">
        <f t="shared" si="1"/>
        <v>0.25789220563231574</v>
      </c>
      <c r="G28">
        <f t="shared" si="2"/>
        <v>0.12245260530586372</v>
      </c>
      <c r="H28">
        <f t="shared" si="11"/>
        <v>0.20581934386607109</v>
      </c>
      <c r="I28">
        <f t="shared" si="12"/>
        <v>0.26872901579910663</v>
      </c>
      <c r="J28">
        <f t="shared" si="3"/>
        <v>0.23758874040905825</v>
      </c>
      <c r="K28">
        <f t="shared" si="4"/>
        <v>0.28758874040905824</v>
      </c>
      <c r="L28">
        <f t="shared" si="5"/>
        <v>0.18758874040905826</v>
      </c>
      <c r="M28">
        <f t="shared" si="13"/>
        <v>0.13032773754642843</v>
      </c>
      <c r="N28">
        <f t="shared" si="17"/>
        <v>0.12245260530586372</v>
      </c>
      <c r="O28">
        <f t="shared" si="6"/>
        <v>0.5016539383322618</v>
      </c>
      <c r="P28">
        <f t="shared" si="15"/>
        <v>0.14870778177980165</v>
      </c>
      <c r="Q28">
        <f t="shared" si="16"/>
        <v>0.54074112423309584</v>
      </c>
      <c r="V28">
        <v>0.09</v>
      </c>
    </row>
    <row r="29" spans="1:22" x14ac:dyDescent="0.45">
      <c r="A29">
        <v>0.11</v>
      </c>
      <c r="B29">
        <f t="shared" si="9"/>
        <v>-0.33247776989982153</v>
      </c>
      <c r="C29">
        <f t="shared" si="14"/>
        <v>0.49247776989982156</v>
      </c>
      <c r="D29">
        <f t="shared" si="10"/>
        <v>0.17666073863995244</v>
      </c>
      <c r="E29">
        <f t="shared" si="0"/>
        <v>0.17521925621736401</v>
      </c>
      <c r="F29">
        <f t="shared" si="1"/>
        <v>0.24834492566250982</v>
      </c>
      <c r="G29">
        <f t="shared" si="2"/>
        <v>0.11360293428483867</v>
      </c>
      <c r="H29">
        <f t="shared" si="11"/>
        <v>0.19525777650335646</v>
      </c>
      <c r="I29">
        <f t="shared" si="12"/>
        <v>0.25288666475503468</v>
      </c>
      <c r="J29">
        <f t="shared" si="3"/>
        <v>0.22282888432604603</v>
      </c>
      <c r="K29">
        <f t="shared" si="4"/>
        <v>0.27282888432604602</v>
      </c>
      <c r="L29">
        <f t="shared" si="5"/>
        <v>0.17282888432604604</v>
      </c>
      <c r="M29">
        <f t="shared" si="13"/>
        <v>0.12610311060134261</v>
      </c>
      <c r="N29">
        <f t="shared" si="17"/>
        <v>0.11360293428483867</v>
      </c>
      <c r="O29">
        <f t="shared" si="6"/>
        <v>0.49247776989982156</v>
      </c>
      <c r="P29">
        <f t="shared" si="15"/>
        <v>0.14388789029906074</v>
      </c>
      <c r="Q29">
        <f t="shared" si="16"/>
        <v>0.53059988974219918</v>
      </c>
      <c r="V29">
        <v>0.03</v>
      </c>
    </row>
    <row r="30" spans="1:22" x14ac:dyDescent="0.45">
      <c r="A30">
        <v>0.115</v>
      </c>
      <c r="B30">
        <f t="shared" si="9"/>
        <v>-0.32352816187322114</v>
      </c>
      <c r="C30">
        <f t="shared" si="14"/>
        <v>0.48352816187322117</v>
      </c>
      <c r="D30">
        <f t="shared" si="10"/>
        <v>0.17427417649952567</v>
      </c>
      <c r="E30">
        <f t="shared" si="0"/>
        <v>0.16573355860964203</v>
      </c>
      <c r="F30">
        <f t="shared" si="1"/>
        <v>0.23893523224960567</v>
      </c>
      <c r="G30">
        <f t="shared" si="2"/>
        <v>0.1053024169047299</v>
      </c>
      <c r="H30">
        <f t="shared" si="11"/>
        <v>0.18505916027270553</v>
      </c>
      <c r="I30">
        <f t="shared" si="12"/>
        <v>0.23758874040905825</v>
      </c>
      <c r="J30">
        <f t="shared" si="3"/>
        <v>0.20860033791446303</v>
      </c>
      <c r="K30">
        <f t="shared" si="4"/>
        <v>0.25860033791446302</v>
      </c>
      <c r="L30">
        <f t="shared" si="5"/>
        <v>0.15860033791446304</v>
      </c>
      <c r="M30">
        <f t="shared" si="13"/>
        <v>0.12202366410908221</v>
      </c>
      <c r="N30">
        <f t="shared" si="17"/>
        <v>0.1053024169047299</v>
      </c>
      <c r="O30">
        <f t="shared" si="6"/>
        <v>0.48352816187322117</v>
      </c>
      <c r="P30">
        <f t="shared" si="15"/>
        <v>0.13921873439771937</v>
      </c>
      <c r="Q30">
        <f t="shared" si="16"/>
        <v>0.52070904322302403</v>
      </c>
    </row>
    <row r="31" spans="1:22" x14ac:dyDescent="0.45">
      <c r="A31">
        <v>0.12</v>
      </c>
      <c r="B31">
        <f t="shared" si="9"/>
        <v>-0.31479952045610943</v>
      </c>
      <c r="C31">
        <f t="shared" si="14"/>
        <v>0.47479952045610946</v>
      </c>
      <c r="D31">
        <f t="shared" si="10"/>
        <v>0.17194653878829586</v>
      </c>
      <c r="E31">
        <f t="shared" si="0"/>
        <v>0.1565973139091372</v>
      </c>
      <c r="F31">
        <f t="shared" si="1"/>
        <v>0.2296679082859257</v>
      </c>
      <c r="G31">
        <f t="shared" si="2"/>
        <v>9.7529114505474232E-2</v>
      </c>
      <c r="H31">
        <f t="shared" si="11"/>
        <v>0.17521925621736401</v>
      </c>
      <c r="I31">
        <f t="shared" si="12"/>
        <v>0.22282888432604603</v>
      </c>
      <c r="J31">
        <f t="shared" si="3"/>
        <v>0.19489597086370578</v>
      </c>
      <c r="K31">
        <f t="shared" si="4"/>
        <v>0.24489597086370579</v>
      </c>
      <c r="L31">
        <f t="shared" si="5"/>
        <v>0.14489597086370576</v>
      </c>
      <c r="M31">
        <f t="shared" si="13"/>
        <v>0.11808770248694561</v>
      </c>
      <c r="N31">
        <f t="shared" si="17"/>
        <v>9.7529114505474232E-2</v>
      </c>
      <c r="O31">
        <f t="shared" si="6"/>
        <v>0.47479952045610946</v>
      </c>
      <c r="P31">
        <f t="shared" si="15"/>
        <v>0.13187385392691076</v>
      </c>
      <c r="Q31">
        <f t="shared" si="16"/>
        <v>0.51106240257452162</v>
      </c>
    </row>
    <row r="32" spans="1:22" x14ac:dyDescent="0.45">
      <c r="A32">
        <v>0.125</v>
      </c>
      <c r="B32">
        <f t="shared" si="9"/>
        <v>-0.30628638996345942</v>
      </c>
      <c r="C32">
        <f t="shared" si="14"/>
        <v>0.46628638996345945</v>
      </c>
      <c r="D32">
        <f t="shared" si="10"/>
        <v>0.16967637065692254</v>
      </c>
      <c r="E32">
        <f t="shared" si="0"/>
        <v>0.1478055391234723</v>
      </c>
      <c r="F32">
        <f t="shared" si="1"/>
        <v>0.22054744810887777</v>
      </c>
      <c r="G32">
        <f t="shared" si="2"/>
        <v>9.0261582858015346E-2</v>
      </c>
      <c r="H32">
        <f t="shared" si="11"/>
        <v>0.16573355860964203</v>
      </c>
      <c r="I32">
        <f t="shared" si="12"/>
        <v>0.20860033791446303</v>
      </c>
      <c r="J32">
        <f t="shared" si="3"/>
        <v>0.18170830868520846</v>
      </c>
      <c r="K32">
        <f t="shared" si="4"/>
        <v>0.23170830868520848</v>
      </c>
      <c r="L32">
        <f t="shared" si="5"/>
        <v>0.13170830868520844</v>
      </c>
      <c r="M32">
        <f t="shared" si="13"/>
        <v>0.11429342344385682</v>
      </c>
      <c r="N32">
        <f t="shared" si="17"/>
        <v>9.0261582858015346E-2</v>
      </c>
      <c r="O32">
        <f t="shared" si="6"/>
        <v>0.46628638996345945</v>
      </c>
      <c r="P32">
        <f t="shared" si="15"/>
        <v>0.12245260530586372</v>
      </c>
      <c r="Q32">
        <f t="shared" si="16"/>
        <v>0.5016539383322618</v>
      </c>
    </row>
    <row r="33" spans="1:17" x14ac:dyDescent="0.45">
      <c r="A33">
        <v>0.13</v>
      </c>
      <c r="B33">
        <f t="shared" si="9"/>
        <v>-0.29798344941158716</v>
      </c>
      <c r="C33">
        <f t="shared" si="14"/>
        <v>0.4579834494115872</v>
      </c>
      <c r="D33">
        <f t="shared" si="10"/>
        <v>0.16746225317642327</v>
      </c>
      <c r="E33">
        <f t="shared" si="0"/>
        <v>0.13935303957645051</v>
      </c>
      <c r="F33">
        <f t="shared" si="1"/>
        <v>0.21157806223449266</v>
      </c>
      <c r="G33">
        <f t="shared" si="2"/>
        <v>8.3478879696276584E-2</v>
      </c>
      <c r="H33">
        <f t="shared" si="11"/>
        <v>0.1565973139091372</v>
      </c>
      <c r="I33">
        <f t="shared" si="12"/>
        <v>0.19489597086370578</v>
      </c>
      <c r="J33">
        <f t="shared" si="3"/>
        <v>0.16902955936467576</v>
      </c>
      <c r="K33">
        <f t="shared" si="4"/>
        <v>0.21902955936467577</v>
      </c>
      <c r="L33">
        <f t="shared" si="5"/>
        <v>0.11902955936467575</v>
      </c>
      <c r="M33">
        <f t="shared" si="13"/>
        <v>0.11063892556365489</v>
      </c>
      <c r="N33">
        <f t="shared" si="17"/>
        <v>8.3478879696276584E-2</v>
      </c>
      <c r="O33">
        <f t="shared" si="6"/>
        <v>0.4579834494115872</v>
      </c>
      <c r="P33">
        <f t="shared" si="15"/>
        <v>0.11360293428483867</v>
      </c>
      <c r="Q33">
        <f t="shared" si="16"/>
        <v>0.49247776989982156</v>
      </c>
    </row>
    <row r="34" spans="1:17" x14ac:dyDescent="0.45">
      <c r="A34">
        <v>0.13500000000000001</v>
      </c>
      <c r="B34">
        <f t="shared" si="9"/>
        <v>-0.28988550919236422</v>
      </c>
      <c r="C34">
        <f t="shared" si="14"/>
        <v>0.44988550919236425</v>
      </c>
      <c r="D34">
        <f t="shared" si="10"/>
        <v>0.16530280245129714</v>
      </c>
      <c r="E34">
        <f t="shared" si="0"/>
        <v>0.1312344260890744</v>
      </c>
      <c r="F34">
        <f t="shared" si="1"/>
        <v>0.20276368221684732</v>
      </c>
      <c r="G34">
        <f t="shared" si="2"/>
        <v>7.7160570745582385E-2</v>
      </c>
      <c r="H34">
        <f t="shared" si="11"/>
        <v>0.1478055391234723</v>
      </c>
      <c r="I34">
        <f t="shared" si="12"/>
        <v>0.18170830868520846</v>
      </c>
      <c r="J34">
        <f t="shared" si="3"/>
        <v>0.15685163913361158</v>
      </c>
      <c r="K34">
        <f t="shared" si="4"/>
        <v>0.2068516391336116</v>
      </c>
      <c r="L34">
        <f t="shared" si="5"/>
        <v>0.10685163913361158</v>
      </c>
      <c r="M34">
        <f t="shared" si="13"/>
        <v>0.10712221564938892</v>
      </c>
      <c r="N34">
        <f t="shared" si="17"/>
        <v>7.7160570745582385E-2</v>
      </c>
      <c r="O34">
        <f t="shared" si="6"/>
        <v>0.44988550919236425</v>
      </c>
      <c r="P34">
        <f t="shared" si="15"/>
        <v>0.1053024169047299</v>
      </c>
      <c r="Q34">
        <f t="shared" si="16"/>
        <v>0.48352816187322117</v>
      </c>
    </row>
    <row r="35" spans="1:17" x14ac:dyDescent="0.45">
      <c r="A35">
        <v>0.14000000000000001</v>
      </c>
      <c r="B35">
        <f t="shared" si="9"/>
        <v>-0.28198750782954313</v>
      </c>
      <c r="C35">
        <f t="shared" si="14"/>
        <v>0.44198750782954316</v>
      </c>
      <c r="D35">
        <f t="shared" si="10"/>
        <v>0.16319666875454486</v>
      </c>
      <c r="E35">
        <f t="shared" si="0"/>
        <v>0.12344413157938411</v>
      </c>
      <c r="F35">
        <f t="shared" si="1"/>
        <v>0.19410796562470273</v>
      </c>
      <c r="G35">
        <f t="shared" si="2"/>
        <v>7.1286734340205188E-2</v>
      </c>
      <c r="H35">
        <f t="shared" si="11"/>
        <v>0.13935303957645051</v>
      </c>
      <c r="I35">
        <f t="shared" si="12"/>
        <v>0.16902955936467576</v>
      </c>
      <c r="J35">
        <f t="shared" si="3"/>
        <v>0.14516619736907618</v>
      </c>
      <c r="K35">
        <f t="shared" si="4"/>
        <v>0.1951661973690762</v>
      </c>
      <c r="L35">
        <f t="shared" si="5"/>
        <v>9.516619736907618E-2</v>
      </c>
      <c r="M35">
        <f t="shared" si="13"/>
        <v>0.10374121583058021</v>
      </c>
      <c r="N35">
        <f t="shared" si="17"/>
        <v>7.1286734340205188E-2</v>
      </c>
      <c r="O35">
        <f t="shared" si="6"/>
        <v>0.44198750782954316</v>
      </c>
      <c r="P35">
        <f t="shared" si="15"/>
        <v>9.7529114505474232E-2</v>
      </c>
      <c r="Q35">
        <f t="shared" si="16"/>
        <v>0.47479952045610946</v>
      </c>
    </row>
    <row r="36" spans="1:17" x14ac:dyDescent="0.45">
      <c r="A36">
        <v>0.14499999999999999</v>
      </c>
      <c r="B36">
        <f t="shared" si="9"/>
        <v>-0.27428450881517047</v>
      </c>
      <c r="C36">
        <f t="shared" si="14"/>
        <v>0.4342845088151705</v>
      </c>
      <c r="D36">
        <f t="shared" si="10"/>
        <v>0.16114253568404546</v>
      </c>
      <c r="E36">
        <f t="shared" si="0"/>
        <v>0.11597642708754766</v>
      </c>
      <c r="F36">
        <f t="shared" si="1"/>
        <v>0.18561430112684218</v>
      </c>
      <c r="G36">
        <f t="shared" si="2"/>
        <v>6.5837964719032555E-2</v>
      </c>
      <c r="H36">
        <f t="shared" si="11"/>
        <v>0.1312344260890744</v>
      </c>
      <c r="I36">
        <f t="shared" si="12"/>
        <v>0.15685163913361158</v>
      </c>
      <c r="J36">
        <f t="shared" si="3"/>
        <v>0.13396464063132152</v>
      </c>
      <c r="K36">
        <f t="shared" si="4"/>
        <v>0.18396464063132151</v>
      </c>
      <c r="L36">
        <f t="shared" si="5"/>
        <v>8.3964640631321516E-2</v>
      </c>
      <c r="M36">
        <f t="shared" si="13"/>
        <v>0.10049377043562976</v>
      </c>
      <c r="N36">
        <f t="shared" si="17"/>
        <v>6.5837964719032555E-2</v>
      </c>
      <c r="O36">
        <f t="shared" si="6"/>
        <v>0.4342845088151705</v>
      </c>
      <c r="P36">
        <f t="shared" si="15"/>
        <v>9.0261582858015346E-2</v>
      </c>
      <c r="Q36">
        <f t="shared" si="16"/>
        <v>0.46628638996345945</v>
      </c>
    </row>
    <row r="37" spans="1:17" x14ac:dyDescent="0.45">
      <c r="A37">
        <v>0.15</v>
      </c>
      <c r="B37">
        <f t="shared" si="9"/>
        <v>-0.26677169752410829</v>
      </c>
      <c r="C37">
        <f t="shared" si="14"/>
        <v>0.42677169752410832</v>
      </c>
      <c r="D37">
        <f t="shared" si="10"/>
        <v>0.15913911933976221</v>
      </c>
      <c r="E37">
        <f t="shared" si="0"/>
        <v>0.10882543723308015</v>
      </c>
      <c r="F37">
        <f t="shared" si="1"/>
        <v>0.17728581367776178</v>
      </c>
      <c r="G37">
        <f t="shared" si="2"/>
        <v>6.0795374084747875E-2</v>
      </c>
      <c r="H37">
        <f t="shared" si="11"/>
        <v>0.12344413157938411</v>
      </c>
      <c r="I37">
        <f t="shared" si="12"/>
        <v>0.14516619736907618</v>
      </c>
      <c r="J37">
        <f t="shared" si="3"/>
        <v>0.12323815584962022</v>
      </c>
      <c r="K37">
        <f t="shared" si="4"/>
        <v>0.17323815584962021</v>
      </c>
      <c r="L37">
        <f t="shared" si="5"/>
        <v>7.3238155849620221E-2</v>
      </c>
      <c r="M37">
        <f t="shared" si="13"/>
        <v>9.7377652631753644E-2</v>
      </c>
      <c r="N37">
        <f t="shared" si="17"/>
        <v>6.0795374084747875E-2</v>
      </c>
      <c r="O37">
        <f t="shared" si="6"/>
        <v>0.42677169752410832</v>
      </c>
      <c r="P37">
        <f t="shared" si="15"/>
        <v>8.3478879696276584E-2</v>
      </c>
      <c r="Q37">
        <f t="shared" si="16"/>
        <v>0.4579834494115872</v>
      </c>
    </row>
    <row r="38" spans="1:17" x14ac:dyDescent="0.45">
      <c r="A38">
        <v>0.155</v>
      </c>
      <c r="B38">
        <f t="shared" si="9"/>
        <v>-0.25944437820473704</v>
      </c>
      <c r="C38">
        <f t="shared" si="14"/>
        <v>0.41944437820473707</v>
      </c>
      <c r="D38">
        <f t="shared" si="10"/>
        <v>0.15718516752126321</v>
      </c>
      <c r="E38">
        <f t="shared" si="0"/>
        <v>0.10198515511148398</v>
      </c>
      <c r="F38">
        <f t="shared" si="1"/>
        <v>0.16912536979552822</v>
      </c>
      <c r="G38">
        <f t="shared" si="2"/>
        <v>5.6140593508400699E-2</v>
      </c>
      <c r="H38">
        <f t="shared" si="11"/>
        <v>0.11597642708754766</v>
      </c>
      <c r="I38">
        <f t="shared" si="12"/>
        <v>0.13396464063132152</v>
      </c>
      <c r="J38">
        <f t="shared" si="3"/>
        <v>0.11297773266722597</v>
      </c>
      <c r="K38">
        <f t="shared" si="4"/>
        <v>0.16297773266722598</v>
      </c>
      <c r="L38">
        <f t="shared" si="5"/>
        <v>6.2977732667225964E-2</v>
      </c>
      <c r="M38">
        <f t="shared" si="13"/>
        <v>9.4390570835019061E-2</v>
      </c>
      <c r="N38">
        <f t="shared" si="17"/>
        <v>5.6140593508400699E-2</v>
      </c>
      <c r="O38">
        <f t="shared" si="6"/>
        <v>0.41944437820473707</v>
      </c>
      <c r="P38">
        <f t="shared" si="15"/>
        <v>7.7160570745582385E-2</v>
      </c>
      <c r="Q38">
        <f t="shared" si="16"/>
        <v>0.44988550919236425</v>
      </c>
    </row>
    <row r="39" spans="1:17" x14ac:dyDescent="0.45">
      <c r="A39">
        <v>0.16</v>
      </c>
      <c r="B39">
        <f t="shared" si="9"/>
        <v>-0.25229797104395751</v>
      </c>
      <c r="C39">
        <f t="shared" si="14"/>
        <v>0.41229797104395755</v>
      </c>
      <c r="D39">
        <f t="shared" si="10"/>
        <v>0.15527945894505535</v>
      </c>
      <c r="E39">
        <f t="shared" si="0"/>
        <v>9.5449456637985555E-2</v>
      </c>
      <c r="F39">
        <f t="shared" si="1"/>
        <v>0.16113558292378699</v>
      </c>
      <c r="G39">
        <f t="shared" si="2"/>
        <v>5.1855772757809983E-2</v>
      </c>
      <c r="H39">
        <f t="shared" si="11"/>
        <v>0.10882543723308015</v>
      </c>
      <c r="I39">
        <f t="shared" si="12"/>
        <v>0.12323815584962022</v>
      </c>
      <c r="J39">
        <f t="shared" si="3"/>
        <v>0.10317418495697833</v>
      </c>
      <c r="K39">
        <f t="shared" si="4"/>
        <v>0.15317418495697832</v>
      </c>
      <c r="L39">
        <f t="shared" si="5"/>
        <v>5.3174184956978329E-2</v>
      </c>
      <c r="M39">
        <f t="shared" si="13"/>
        <v>9.1530174893232064E-2</v>
      </c>
      <c r="N39">
        <f t="shared" si="17"/>
        <v>5.1855772757809983E-2</v>
      </c>
      <c r="O39">
        <f t="shared" si="6"/>
        <v>0.41229797104395755</v>
      </c>
      <c r="P39">
        <f t="shared" si="15"/>
        <v>7.1286734340205188E-2</v>
      </c>
      <c r="Q39">
        <f t="shared" si="16"/>
        <v>0.44198750782954316</v>
      </c>
    </row>
    <row r="40" spans="1:17" x14ac:dyDescent="0.45">
      <c r="A40">
        <v>0.16500000000000001</v>
      </c>
      <c r="B40">
        <f t="shared" si="9"/>
        <v>-0.24532800930465898</v>
      </c>
      <c r="C40">
        <f t="shared" si="14"/>
        <v>0.40532800930465901</v>
      </c>
      <c r="D40">
        <f t="shared" si="10"/>
        <v>0.1534208024812424</v>
      </c>
      <c r="E40">
        <f t="shared" si="0"/>
        <v>8.9212114346399918E-2</v>
      </c>
      <c r="F40">
        <f t="shared" si="1"/>
        <v>0.15331881887007803</v>
      </c>
      <c r="G40">
        <f t="shared" si="2"/>
        <v>4.7923579124895331E-2</v>
      </c>
      <c r="H40">
        <f t="shared" si="11"/>
        <v>0.10198515511148398</v>
      </c>
      <c r="I40">
        <f t="shared" si="12"/>
        <v>0.11297773266722597</v>
      </c>
      <c r="J40">
        <f t="shared" si="3"/>
        <v>9.3818171519599883E-2</v>
      </c>
      <c r="K40">
        <f t="shared" si="4"/>
        <v>0.14381817151959989</v>
      </c>
      <c r="L40">
        <f t="shared" si="5"/>
        <v>4.381817151959988E-2</v>
      </c>
      <c r="M40">
        <f t="shared" si="13"/>
        <v>8.8794062044593586E-2</v>
      </c>
      <c r="N40">
        <f t="shared" si="17"/>
        <v>4.381817151959988E-2</v>
      </c>
      <c r="O40">
        <f t="shared" si="6"/>
        <v>0.40532800930465901</v>
      </c>
      <c r="P40">
        <f t="shared" si="15"/>
        <v>6.5837964719032555E-2</v>
      </c>
      <c r="Q40">
        <f t="shared" si="16"/>
        <v>0.4342845088151705</v>
      </c>
    </row>
    <row r="41" spans="1:17" x14ac:dyDescent="0.45">
      <c r="A41">
        <v>0.17</v>
      </c>
      <c r="B41">
        <f t="shared" si="9"/>
        <v>-0.2385301365338629</v>
      </c>
      <c r="C41">
        <f t="shared" si="14"/>
        <v>0.39853013653386293</v>
      </c>
      <c r="D41">
        <f t="shared" si="10"/>
        <v>0.15160803640903014</v>
      </c>
      <c r="E41">
        <f t="shared" si="0"/>
        <v>8.3266810651482573E-2</v>
      </c>
      <c r="F41">
        <f t="shared" si="1"/>
        <v>0.14567720131278586</v>
      </c>
      <c r="G41">
        <f t="shared" si="2"/>
        <v>4.4327195323770843E-2</v>
      </c>
      <c r="H41">
        <f t="shared" si="11"/>
        <v>9.5449456637985555E-2</v>
      </c>
      <c r="I41">
        <f t="shared" si="12"/>
        <v>0.10317418495697833</v>
      </c>
      <c r="J41">
        <f t="shared" si="3"/>
        <v>8.4900215977223858E-2</v>
      </c>
      <c r="K41">
        <f t="shared" si="4"/>
        <v>0.13490021597722385</v>
      </c>
      <c r="L41">
        <f t="shared" si="5"/>
        <v>3.4900215977223856E-2</v>
      </c>
      <c r="M41">
        <f t="shared" si="13"/>
        <v>8.6179782655194229E-2</v>
      </c>
      <c r="N41">
        <f t="shared" si="17"/>
        <v>3.4900215977223856E-2</v>
      </c>
      <c r="O41">
        <f t="shared" si="6"/>
        <v>0.39853013653386293</v>
      </c>
      <c r="P41">
        <f t="shared" si="15"/>
        <v>6.0795374084747875E-2</v>
      </c>
      <c r="Q41">
        <f t="shared" si="16"/>
        <v>0.42677169752410832</v>
      </c>
    </row>
    <row r="42" spans="1:17" x14ac:dyDescent="0.45">
      <c r="A42">
        <v>0.17499999999999999</v>
      </c>
      <c r="B42">
        <f t="shared" si="9"/>
        <v>-0.23190010383979798</v>
      </c>
      <c r="C42">
        <f t="shared" si="14"/>
        <v>0.39190010383979801</v>
      </c>
      <c r="D42">
        <f t="shared" si="10"/>
        <v>0.14984002769061283</v>
      </c>
      <c r="E42">
        <f t="shared" si="0"/>
        <v>7.7607150583427612E-2</v>
      </c>
      <c r="F42">
        <f t="shared" si="1"/>
        <v>0.13821261736922785</v>
      </c>
      <c r="G42">
        <f t="shared" si="2"/>
        <v>4.1050316528258725E-2</v>
      </c>
      <c r="H42">
        <f t="shared" si="11"/>
        <v>8.9212114346399918E-2</v>
      </c>
      <c r="I42">
        <f t="shared" si="12"/>
        <v>9.3818171519599883E-2</v>
      </c>
      <c r="J42">
        <f t="shared" si="3"/>
        <v>7.6410725875141416E-2</v>
      </c>
      <c r="K42">
        <f t="shared" si="4"/>
        <v>0.12641072587514141</v>
      </c>
      <c r="L42">
        <f t="shared" si="5"/>
        <v>2.6410725875141414E-2</v>
      </c>
      <c r="M42">
        <f t="shared" si="13"/>
        <v>8.3684845738559971E-2</v>
      </c>
      <c r="N42">
        <f t="shared" si="17"/>
        <v>2.6410725875141414E-2</v>
      </c>
      <c r="O42">
        <f t="shared" si="6"/>
        <v>0.39190010383979801</v>
      </c>
      <c r="P42">
        <f t="shared" si="15"/>
        <v>5.6140593508400699E-2</v>
      </c>
      <c r="Q42">
        <f t="shared" si="16"/>
        <v>0.41944437820473707</v>
      </c>
    </row>
    <row r="43" spans="1:17" x14ac:dyDescent="0.45">
      <c r="A43">
        <v>0.18</v>
      </c>
      <c r="B43">
        <f t="shared" si="9"/>
        <v>-0.22543376723620456</v>
      </c>
      <c r="C43">
        <f t="shared" si="14"/>
        <v>0.38543376723620459</v>
      </c>
      <c r="D43">
        <f t="shared" si="10"/>
        <v>0.14811567126298791</v>
      </c>
      <c r="E43">
        <f t="shared" si="0"/>
        <v>7.2226674003446234E-2</v>
      </c>
      <c r="F43">
        <f t="shared" si="1"/>
        <v>0.13092672321756132</v>
      </c>
      <c r="G43">
        <f t="shared" si="2"/>
        <v>3.8077146614392855E-2</v>
      </c>
      <c r="H43">
        <f t="shared" si="11"/>
        <v>8.3266810651482573E-2</v>
      </c>
      <c r="I43">
        <f t="shared" si="12"/>
        <v>8.4900215977223858E-2</v>
      </c>
      <c r="J43">
        <f t="shared" si="3"/>
        <v>6.8340011005169357E-2</v>
      </c>
      <c r="K43">
        <f t="shared" si="4"/>
        <v>0.11834001100516936</v>
      </c>
      <c r="L43">
        <f t="shared" si="5"/>
        <v>1.8340011005169354E-2</v>
      </c>
      <c r="M43">
        <f t="shared" si="13"/>
        <v>8.130672426059303E-2</v>
      </c>
      <c r="N43">
        <f t="shared" si="17"/>
        <v>1.8340011005169354E-2</v>
      </c>
      <c r="O43">
        <f t="shared" si="6"/>
        <v>0.38543376723620459</v>
      </c>
      <c r="P43">
        <f t="shared" si="15"/>
        <v>5.1855772757809983E-2</v>
      </c>
      <c r="Q43">
        <f t="shared" si="16"/>
        <v>0.41229797104395755</v>
      </c>
    </row>
    <row r="44" spans="1:17" x14ac:dyDescent="0.45">
      <c r="A44">
        <v>0.185</v>
      </c>
      <c r="B44">
        <f t="shared" si="9"/>
        <v>-0.21912708505220829</v>
      </c>
      <c r="C44">
        <f t="shared" si="14"/>
        <v>0.37912708505220832</v>
      </c>
      <c r="D44">
        <f t="shared" si="10"/>
        <v>0.14643388934725557</v>
      </c>
      <c r="E44">
        <f t="shared" si="0"/>
        <v>6.7118867309608934E-2</v>
      </c>
      <c r="F44">
        <f t="shared" si="1"/>
        <v>0.12382094976536748</v>
      </c>
      <c r="G44">
        <f t="shared" si="2"/>
        <v>3.5392393670478701E-2</v>
      </c>
      <c r="H44">
        <f t="shared" si="11"/>
        <v>7.7607150583427612E-2</v>
      </c>
      <c r="I44">
        <f t="shared" si="12"/>
        <v>7.6410725875141416E-2</v>
      </c>
      <c r="J44">
        <f t="shared" si="3"/>
        <v>6.0678300964413394E-2</v>
      </c>
      <c r="K44">
        <f t="shared" si="4"/>
        <v>0.11067830096441339</v>
      </c>
      <c r="L44">
        <f t="shared" si="5"/>
        <v>1.0678300964413391E-2</v>
      </c>
      <c r="M44">
        <f t="shared" si="13"/>
        <v>7.9042860233371051E-2</v>
      </c>
      <c r="N44">
        <f t="shared" si="17"/>
        <v>1.0678300964413391E-2</v>
      </c>
      <c r="O44">
        <f t="shared" si="6"/>
        <v>0.37912708505220832</v>
      </c>
      <c r="P44">
        <f t="shared" si="15"/>
        <v>4.381817151959988E-2</v>
      </c>
      <c r="Q44">
        <f t="shared" si="16"/>
        <v>0.40532800930465901</v>
      </c>
    </row>
    <row r="45" spans="1:17" x14ac:dyDescent="0.45">
      <c r="A45">
        <v>0.19</v>
      </c>
      <c r="B45">
        <f t="shared" si="9"/>
        <v>-0.21297611540614425</v>
      </c>
      <c r="C45">
        <f t="shared" si="14"/>
        <v>0.37297611540614428</v>
      </c>
      <c r="D45">
        <f t="shared" si="10"/>
        <v>0.14479363077497182</v>
      </c>
      <c r="E45">
        <f t="shared" si="0"/>
        <v>6.2277174642359337E-2</v>
      </c>
      <c r="F45">
        <f t="shared" si="1"/>
        <v>0.11689650835795112</v>
      </c>
      <c r="G45">
        <f t="shared" si="2"/>
        <v>3.2981264834360702E-2</v>
      </c>
      <c r="H45">
        <f t="shared" si="11"/>
        <v>7.2226674003446234E-2</v>
      </c>
      <c r="I45">
        <f t="shared" si="12"/>
        <v>6.8340011005169357E-2</v>
      </c>
      <c r="J45">
        <f t="shared" si="3"/>
        <v>5.3415761963538991E-2</v>
      </c>
      <c r="K45">
        <f t="shared" si="4"/>
        <v>0.10341576196353899</v>
      </c>
      <c r="L45">
        <f t="shared" si="5"/>
        <v>3.415761963538988E-3</v>
      </c>
      <c r="M45">
        <f t="shared" si="13"/>
        <v>7.6890669601378497E-2</v>
      </c>
      <c r="N45">
        <f t="shared" si="17"/>
        <v>3.415761963538988E-3</v>
      </c>
      <c r="O45">
        <f t="shared" si="6"/>
        <v>0.37297611540614428</v>
      </c>
      <c r="P45">
        <f t="shared" si="15"/>
        <v>3.4900215977223856E-2</v>
      </c>
      <c r="Q45">
        <f t="shared" si="16"/>
        <v>0.39853013653386293</v>
      </c>
    </row>
    <row r="46" spans="1:17" x14ac:dyDescent="0.45">
      <c r="A46">
        <v>0.19500000000000001</v>
      </c>
      <c r="B46">
        <f t="shared" si="9"/>
        <v>-0.20697701374175254</v>
      </c>
      <c r="C46">
        <f t="shared" si="14"/>
        <v>0.36697701374175251</v>
      </c>
      <c r="D46">
        <f t="shared" si="10"/>
        <v>0.14319387033113401</v>
      </c>
      <c r="E46">
        <f t="shared" si="0"/>
        <v>5.7695008599309525E-2</v>
      </c>
      <c r="F46">
        <f t="shared" si="1"/>
        <v>0.11015439651957472</v>
      </c>
      <c r="G46">
        <f t="shared" si="2"/>
        <v>3.082946051471766E-2</v>
      </c>
      <c r="H46">
        <f t="shared" si="11"/>
        <v>6.7118867309608934E-2</v>
      </c>
      <c r="I46">
        <f t="shared" si="12"/>
        <v>6.0678300964413394E-2</v>
      </c>
      <c r="J46">
        <f t="shared" si="3"/>
        <v>4.6542512898964286E-2</v>
      </c>
      <c r="K46">
        <f t="shared" si="4"/>
        <v>9.6542512898964289E-2</v>
      </c>
      <c r="L46">
        <f t="shared" si="5"/>
        <v>-3.4574871010357167E-3</v>
      </c>
      <c r="M46">
        <f t="shared" si="13"/>
        <v>7.4847546923843572E-2</v>
      </c>
      <c r="N46">
        <f t="shared" si="17"/>
        <v>-3.4574871010357167E-3</v>
      </c>
      <c r="O46">
        <f t="shared" si="6"/>
        <v>0.36697701374175251</v>
      </c>
      <c r="P46">
        <f t="shared" si="15"/>
        <v>2.6410725875141414E-2</v>
      </c>
      <c r="Q46">
        <f t="shared" si="16"/>
        <v>0.39190010383979801</v>
      </c>
    </row>
    <row r="47" spans="1:17" x14ac:dyDescent="0.45">
      <c r="A47">
        <v>0.2</v>
      </c>
      <c r="B47">
        <f t="shared" si="9"/>
        <v>-0.20112603042520566</v>
      </c>
      <c r="C47">
        <f t="shared" si="14"/>
        <v>0.36112603042520569</v>
      </c>
      <c r="D47">
        <f t="shared" si="10"/>
        <v>0.14163360811338821</v>
      </c>
      <c r="E47">
        <f t="shared" si="0"/>
        <v>5.3365760469106099E-2</v>
      </c>
      <c r="F47">
        <f t="shared" si="1"/>
        <v>0.10359540372102821</v>
      </c>
      <c r="G47">
        <f t="shared" si="2"/>
        <v>2.8923168050463327E-2</v>
      </c>
      <c r="H47">
        <f t="shared" si="11"/>
        <v>6.2277174642359337E-2</v>
      </c>
      <c r="I47">
        <f t="shared" si="12"/>
        <v>5.3415761963538991E-2</v>
      </c>
      <c r="J47">
        <f t="shared" si="3"/>
        <v>4.0048640703659155E-2</v>
      </c>
      <c r="K47">
        <f t="shared" si="4"/>
        <v>9.0048640703659158E-2</v>
      </c>
      <c r="L47">
        <f t="shared" si="5"/>
        <v>-9.9513592963408476E-3</v>
      </c>
      <c r="M47">
        <f t="shared" si="13"/>
        <v>7.2910869856943727E-2</v>
      </c>
      <c r="N47">
        <f t="shared" si="17"/>
        <v>-9.9513592963408476E-3</v>
      </c>
      <c r="O47">
        <f t="shared" si="6"/>
        <v>0.36112603042520569</v>
      </c>
      <c r="P47">
        <f t="shared" si="15"/>
        <v>1.8340011005169354E-2</v>
      </c>
      <c r="Q47">
        <f t="shared" si="16"/>
        <v>0.38543376723620459</v>
      </c>
    </row>
    <row r="48" spans="1:17" x14ac:dyDescent="0.45">
      <c r="A48">
        <v>0.20499999999999999</v>
      </c>
      <c r="B48">
        <f t="shared" si="9"/>
        <v>-0.19541950840146505</v>
      </c>
      <c r="C48">
        <f t="shared" si="14"/>
        <v>0.35541950840146508</v>
      </c>
      <c r="D48">
        <f t="shared" si="10"/>
        <v>0.14011186890705735</v>
      </c>
      <c r="E48">
        <f t="shared" si="0"/>
        <v>4.9282809994312712E-2</v>
      </c>
      <c r="F48">
        <f t="shared" si="1"/>
        <v>9.7220117167116843E-2</v>
      </c>
      <c r="G48">
        <f t="shared" si="2"/>
        <v>2.7249054859668685E-2</v>
      </c>
      <c r="H48">
        <f t="shared" si="11"/>
        <v>5.7695008599309525E-2</v>
      </c>
      <c r="I48">
        <f t="shared" si="12"/>
        <v>4.6542512898964286E-2</v>
      </c>
      <c r="J48">
        <f t="shared" si="3"/>
        <v>3.3924214991469075E-2</v>
      </c>
      <c r="K48">
        <f t="shared" si="4"/>
        <v>8.392421499146907E-2</v>
      </c>
      <c r="L48">
        <f t="shared" si="5"/>
        <v>-1.6075785008530928E-2</v>
      </c>
      <c r="M48">
        <f t="shared" si="13"/>
        <v>7.1078003439723814E-2</v>
      </c>
      <c r="N48">
        <f t="shared" si="17"/>
        <v>-1.6075785008530928E-2</v>
      </c>
      <c r="O48">
        <f t="shared" si="6"/>
        <v>0.35541950840146508</v>
      </c>
      <c r="P48">
        <f t="shared" si="15"/>
        <v>1.0678300964413391E-2</v>
      </c>
      <c r="Q48">
        <f t="shared" si="16"/>
        <v>0.37912708505220832</v>
      </c>
    </row>
    <row r="49" spans="1:17" x14ac:dyDescent="0.45">
      <c r="A49">
        <v>0.21</v>
      </c>
      <c r="B49">
        <f t="shared" si="9"/>
        <v>-0.18985388090850291</v>
      </c>
      <c r="C49">
        <f t="shared" si="14"/>
        <v>0.34985388090850289</v>
      </c>
      <c r="D49">
        <f t="shared" si="10"/>
        <v>0.13862770157560078</v>
      </c>
      <c r="E49">
        <f t="shared" si="0"/>
        <v>4.5439534673392297E-2</v>
      </c>
      <c r="F49">
        <f t="shared" si="1"/>
        <v>9.1028927597833736E-2</v>
      </c>
      <c r="G49">
        <f t="shared" si="2"/>
        <v>2.5794261126849023E-2</v>
      </c>
      <c r="H49">
        <f t="shared" si="11"/>
        <v>5.3365760469106099E-2</v>
      </c>
      <c r="I49">
        <f t="shared" si="12"/>
        <v>4.0048640703659155E-2</v>
      </c>
      <c r="J49">
        <f t="shared" si="3"/>
        <v>2.8159302010088434E-2</v>
      </c>
      <c r="K49">
        <f t="shared" si="4"/>
        <v>7.8159302010088444E-2</v>
      </c>
      <c r="L49">
        <f t="shared" si="5"/>
        <v>-2.1840697989911569E-2</v>
      </c>
      <c r="M49">
        <f t="shared" si="13"/>
        <v>6.9346304187642441E-2</v>
      </c>
      <c r="N49">
        <f t="shared" si="17"/>
        <v>-2.1840697989911569E-2</v>
      </c>
      <c r="O49">
        <f t="shared" si="6"/>
        <v>0.34985388090850289</v>
      </c>
      <c r="P49">
        <f t="shared" si="15"/>
        <v>3.415761963538988E-3</v>
      </c>
      <c r="Q49">
        <f t="shared" si="16"/>
        <v>0.37297611540614428</v>
      </c>
    </row>
    <row r="50" spans="1:17" x14ac:dyDescent="0.45">
      <c r="A50">
        <v>0.215</v>
      </c>
      <c r="B50">
        <f t="shared" si="9"/>
        <v>-0.1844256692479595</v>
      </c>
      <c r="C50">
        <f t="shared" si="14"/>
        <v>0.34442566924795948</v>
      </c>
      <c r="D50">
        <f t="shared" si="10"/>
        <v>0.13718017846612254</v>
      </c>
      <c r="E50">
        <f t="shared" si="0"/>
        <v>4.1829318611988554E-2</v>
      </c>
      <c r="F50">
        <f t="shared" si="1"/>
        <v>8.5022035097165452E-2</v>
      </c>
      <c r="G50">
        <f t="shared" si="2"/>
        <v>2.4546392074965742E-2</v>
      </c>
      <c r="H50">
        <f t="shared" si="11"/>
        <v>4.9282809994312712E-2</v>
      </c>
      <c r="I50">
        <f t="shared" si="12"/>
        <v>3.3924214991469075E-2</v>
      </c>
      <c r="J50">
        <f t="shared" si="3"/>
        <v>2.2743977917982834E-2</v>
      </c>
      <c r="K50">
        <f t="shared" si="4"/>
        <v>7.2743977917982844E-2</v>
      </c>
      <c r="L50">
        <f t="shared" si="5"/>
        <v>-2.7256022082017169E-2</v>
      </c>
      <c r="M50">
        <f t="shared" si="13"/>
        <v>6.7713123997725083E-2</v>
      </c>
      <c r="N50">
        <f t="shared" si="17"/>
        <v>-2.7256022082017169E-2</v>
      </c>
      <c r="O50">
        <f t="shared" si="6"/>
        <v>0.34442566924795948</v>
      </c>
      <c r="P50">
        <f t="shared" si="15"/>
        <v>-3.4574871010357167E-3</v>
      </c>
      <c r="Q50">
        <f t="shared" si="16"/>
        <v>0.36697701374175251</v>
      </c>
    </row>
    <row r="51" spans="1:17" x14ac:dyDescent="0.45">
      <c r="A51">
        <v>0.22</v>
      </c>
      <c r="B51">
        <f t="shared" si="9"/>
        <v>-0.17913148061084372</v>
      </c>
      <c r="C51">
        <f t="shared" si="14"/>
        <v>0.33913148061084369</v>
      </c>
      <c r="D51">
        <f t="shared" si="10"/>
        <v>0.13576839482955833</v>
      </c>
      <c r="E51">
        <f t="shared" si="0"/>
        <v>3.844556093380383E-2</v>
      </c>
      <c r="F51">
        <f t="shared" si="1"/>
        <v>7.9199454903663064E-2</v>
      </c>
      <c r="G51">
        <f t="shared" si="2"/>
        <v>2.3493509866085706E-2</v>
      </c>
      <c r="H51">
        <f t="shared" si="11"/>
        <v>4.5439534673392297E-2</v>
      </c>
      <c r="I51">
        <f t="shared" si="12"/>
        <v>2.8159302010088434E-2</v>
      </c>
      <c r="J51">
        <f t="shared" si="3"/>
        <v>1.7668341400705737E-2</v>
      </c>
      <c r="K51">
        <f t="shared" si="4"/>
        <v>6.7668341400705739E-2</v>
      </c>
      <c r="L51">
        <f t="shared" si="5"/>
        <v>-3.2331658599294266E-2</v>
      </c>
      <c r="M51">
        <f t="shared" si="13"/>
        <v>6.617581386935692E-2</v>
      </c>
      <c r="N51">
        <f t="shared" si="17"/>
        <v>-3.2331658599294266E-2</v>
      </c>
      <c r="O51">
        <f t="shared" si="6"/>
        <v>0.33913148061084369</v>
      </c>
      <c r="P51">
        <f t="shared" si="15"/>
        <v>-9.9513592963408476E-3</v>
      </c>
      <c r="Q51">
        <f t="shared" si="16"/>
        <v>0.36112603042520569</v>
      </c>
    </row>
    <row r="52" spans="1:17" x14ac:dyDescent="0.45">
      <c r="A52">
        <v>0.22500000000000001</v>
      </c>
      <c r="B52">
        <f t="shared" si="9"/>
        <v>-0.17396800595691697</v>
      </c>
      <c r="C52">
        <f t="shared" si="14"/>
        <v>0.33396800595691695</v>
      </c>
      <c r="D52">
        <f t="shared" si="10"/>
        <v>0.13439146825517786</v>
      </c>
      <c r="E52">
        <f t="shared" si="0"/>
        <v>3.5281683761449308E-2</v>
      </c>
      <c r="F52">
        <f t="shared" si="1"/>
        <v>7.3561023217093902E-2</v>
      </c>
      <c r="G52">
        <f t="shared" si="2"/>
        <v>2.2624125172312076E-2</v>
      </c>
      <c r="H52">
        <f t="shared" si="11"/>
        <v>4.1829318611988554E-2</v>
      </c>
      <c r="I52">
        <f t="shared" si="12"/>
        <v>2.2743977917982834E-2</v>
      </c>
      <c r="J52">
        <f t="shared" si="3"/>
        <v>1.2922525642173971E-2</v>
      </c>
      <c r="K52">
        <f t="shared" si="4"/>
        <v>6.2922525642173974E-2</v>
      </c>
      <c r="L52">
        <f t="shared" si="5"/>
        <v>-3.7077474357826032E-2</v>
      </c>
      <c r="M52">
        <f t="shared" si="13"/>
        <v>6.4731727444795426E-2</v>
      </c>
      <c r="N52">
        <f t="shared" si="17"/>
        <v>-3.7077474357826032E-2</v>
      </c>
      <c r="O52">
        <f t="shared" si="6"/>
        <v>0.33396800595691695</v>
      </c>
      <c r="P52">
        <f t="shared" si="15"/>
        <v>-1.6075785008530928E-2</v>
      </c>
      <c r="Q52">
        <f t="shared" si="16"/>
        <v>0.35541950840146508</v>
      </c>
    </row>
    <row r="53" spans="1:17" x14ac:dyDescent="0.45">
      <c r="A53">
        <v>0.23</v>
      </c>
      <c r="B53">
        <f t="shared" si="9"/>
        <v>-0.16893201794643511</v>
      </c>
      <c r="C53">
        <f t="shared" si="14"/>
        <v>0.32893201794643512</v>
      </c>
      <c r="D53">
        <f t="shared" si="10"/>
        <v>0.13304853811904938</v>
      </c>
      <c r="E53">
        <f t="shared" si="0"/>
        <v>3.2331139777705756E-2</v>
      </c>
      <c r="F53">
        <f t="shared" si="1"/>
        <v>6.8106402995671819E-2</v>
      </c>
      <c r="G53">
        <f t="shared" si="2"/>
        <v>2.1927188456354253E-2</v>
      </c>
      <c r="H53">
        <f t="shared" si="11"/>
        <v>3.844556093380383E-2</v>
      </c>
      <c r="I53">
        <f t="shared" si="12"/>
        <v>1.7668341400705737E-2</v>
      </c>
      <c r="J53">
        <f t="shared" si="3"/>
        <v>8.4967096665586189E-3</v>
      </c>
      <c r="K53">
        <f t="shared" si="4"/>
        <v>5.8496709666558622E-2</v>
      </c>
      <c r="L53">
        <f t="shared" si="5"/>
        <v>-4.1503290333441384E-2</v>
      </c>
      <c r="M53">
        <f t="shared" si="13"/>
        <v>6.337822437352153E-2</v>
      </c>
      <c r="N53">
        <f t="shared" si="17"/>
        <v>-4.1503290333441384E-2</v>
      </c>
      <c r="O53">
        <f t="shared" si="6"/>
        <v>0.32893201794643512</v>
      </c>
      <c r="P53">
        <f t="shared" si="15"/>
        <v>-2.1840697989911569E-2</v>
      </c>
      <c r="Q53">
        <f t="shared" si="16"/>
        <v>0.34985388090850289</v>
      </c>
    </row>
    <row r="54" spans="1:17" x14ac:dyDescent="0.45">
      <c r="A54">
        <v>0.23499999999999999</v>
      </c>
      <c r="B54">
        <f t="shared" si="9"/>
        <v>-0.16402036892295635</v>
      </c>
      <c r="C54">
        <f t="shared" si="14"/>
        <v>0.32402036892295633</v>
      </c>
      <c r="D54">
        <f t="shared" si="10"/>
        <v>0.1317387650461217</v>
      </c>
      <c r="E54">
        <f t="shared" si="0"/>
        <v>2.9587419377676921E-2</v>
      </c>
      <c r="F54">
        <f t="shared" si="1"/>
        <v>6.2835089738546665E-2</v>
      </c>
      <c r="G54">
        <f t="shared" si="2"/>
        <v>2.1392080998936878E-2</v>
      </c>
      <c r="H54">
        <f t="shared" si="11"/>
        <v>3.5281683761449308E-2</v>
      </c>
      <c r="I54">
        <f t="shared" si="12"/>
        <v>1.2922525642173971E-2</v>
      </c>
      <c r="J54">
        <f t="shared" si="3"/>
        <v>4.381129066515374E-3</v>
      </c>
      <c r="K54">
        <f t="shared" si="4"/>
        <v>5.4381129066515377E-2</v>
      </c>
      <c r="L54">
        <f t="shared" si="5"/>
        <v>-4.5618870933484629E-2</v>
      </c>
      <c r="M54">
        <f t="shared" si="13"/>
        <v>6.2112673504579725E-2</v>
      </c>
      <c r="N54">
        <f t="shared" si="17"/>
        <v>-4.5618870933484629E-2</v>
      </c>
      <c r="O54">
        <f t="shared" si="6"/>
        <v>0.32402036892295633</v>
      </c>
      <c r="P54">
        <f t="shared" si="15"/>
        <v>-2.7256022082017169E-2</v>
      </c>
      <c r="Q54">
        <f t="shared" si="16"/>
        <v>0.34442566924795948</v>
      </c>
    </row>
    <row r="55" spans="1:17" x14ac:dyDescent="0.45">
      <c r="A55">
        <v>0.24</v>
      </c>
      <c r="B55">
        <f t="shared" si="9"/>
        <v>-0.15922998894595317</v>
      </c>
      <c r="C55">
        <f t="shared" si="14"/>
        <v>0.31922998894595317</v>
      </c>
      <c r="D55">
        <f t="shared" si="10"/>
        <v>0.13046133038558752</v>
      </c>
      <c r="E55">
        <f t="shared" si="0"/>
        <v>2.7044057422347466E-2</v>
      </c>
      <c r="F55">
        <f t="shared" si="1"/>
        <v>5.7746417248414977E-2</v>
      </c>
      <c r="G55">
        <f t="shared" si="2"/>
        <v>2.100860570815774E-2</v>
      </c>
      <c r="H55">
        <f t="shared" si="11"/>
        <v>3.2331139777705756E-2</v>
      </c>
      <c r="I55">
        <f t="shared" si="12"/>
        <v>8.4967096665586189E-3</v>
      </c>
      <c r="J55">
        <f t="shared" si="3"/>
        <v>5.6608613352120141E-4</v>
      </c>
      <c r="K55">
        <f t="shared" si="4"/>
        <v>5.0566086133521204E-2</v>
      </c>
      <c r="L55">
        <f t="shared" si="5"/>
        <v>-4.9433913866478801E-2</v>
      </c>
      <c r="M55">
        <f t="shared" si="13"/>
        <v>6.0932455911082303E-2</v>
      </c>
      <c r="N55">
        <f t="shared" si="17"/>
        <v>-4.9433913866478801E-2</v>
      </c>
      <c r="O55">
        <f t="shared" si="6"/>
        <v>0.31922998894595317</v>
      </c>
      <c r="P55">
        <f t="shared" si="15"/>
        <v>-3.2331658599294266E-2</v>
      </c>
      <c r="Q55">
        <f t="shared" si="16"/>
        <v>0.33913148061084369</v>
      </c>
    </row>
    <row r="56" spans="1:17" x14ac:dyDescent="0.45">
      <c r="A56">
        <v>0.245</v>
      </c>
      <c r="B56">
        <f t="shared" si="9"/>
        <v>-0.15455788387200001</v>
      </c>
      <c r="C56">
        <f t="shared" si="14"/>
        <v>0.31455788387200001</v>
      </c>
      <c r="D56">
        <f t="shared" si="10"/>
        <v>0.12921543569920002</v>
      </c>
      <c r="E56">
        <f t="shared" si="0"/>
        <v>2.4694639604070208E-2</v>
      </c>
      <c r="F56">
        <f t="shared" si="1"/>
        <v>5.2839563369295697E-2</v>
      </c>
      <c r="G56">
        <f t="shared" si="2"/>
        <v>2.0766977743891281E-2</v>
      </c>
      <c r="H56">
        <f t="shared" si="11"/>
        <v>2.9587419377676921E-2</v>
      </c>
      <c r="I56">
        <f t="shared" si="12"/>
        <v>4.381129066515374E-3</v>
      </c>
      <c r="J56">
        <f t="shared" si="3"/>
        <v>-2.9580405938946924E-3</v>
      </c>
      <c r="K56">
        <f t="shared" si="4"/>
        <v>4.704195940610531E-2</v>
      </c>
      <c r="L56">
        <f t="shared" si="5"/>
        <v>-5.2958040593894695E-2</v>
      </c>
      <c r="M56">
        <f t="shared" si="13"/>
        <v>5.9834967751070764E-2</v>
      </c>
      <c r="N56">
        <f t="shared" si="17"/>
        <v>-5.2958040593894695E-2</v>
      </c>
      <c r="O56">
        <f t="shared" si="6"/>
        <v>0.31455788387200001</v>
      </c>
      <c r="P56">
        <f t="shared" si="15"/>
        <v>-3.7077474357826032E-2</v>
      </c>
      <c r="Q56">
        <f t="shared" si="16"/>
        <v>0.33396800595691695</v>
      </c>
    </row>
    <row r="57" spans="1:17" x14ac:dyDescent="0.45">
      <c r="A57">
        <v>0.25</v>
      </c>
      <c r="B57">
        <f t="shared" si="9"/>
        <v>-0.15000113348333555</v>
      </c>
      <c r="C57">
        <f t="shared" si="14"/>
        <v>0.31000113348333552</v>
      </c>
      <c r="D57">
        <f t="shared" si="10"/>
        <v>0.12800030226222281</v>
      </c>
      <c r="E57">
        <f t="shared" si="0"/>
        <v>2.2532808434506037E-2</v>
      </c>
      <c r="F57">
        <f t="shared" si="1"/>
        <v>4.8113555694693506E-2</v>
      </c>
      <c r="G57">
        <f t="shared" si="2"/>
        <v>2.0657814988396472E-2</v>
      </c>
      <c r="H57">
        <f t="shared" si="11"/>
        <v>2.7044057422347466E-2</v>
      </c>
      <c r="I57">
        <f t="shared" si="12"/>
        <v>5.6608613352120141E-4</v>
      </c>
      <c r="J57">
        <f t="shared" si="3"/>
        <v>-6.2007873482409354E-3</v>
      </c>
      <c r="K57">
        <f t="shared" si="4"/>
        <v>4.3799212651759067E-2</v>
      </c>
      <c r="L57">
        <f t="shared" si="5"/>
        <v>-5.6200787348240938E-2</v>
      </c>
      <c r="M57">
        <f t="shared" si="13"/>
        <v>5.8817622968938985E-2</v>
      </c>
      <c r="N57">
        <f t="shared" si="17"/>
        <v>-5.6200787348240938E-2</v>
      </c>
      <c r="O57">
        <f t="shared" si="6"/>
        <v>0.31000113348333552</v>
      </c>
      <c r="P57">
        <f t="shared" si="15"/>
        <v>-4.1503290333441384E-2</v>
      </c>
      <c r="Q57">
        <f t="shared" si="16"/>
        <v>0.32893201794643512</v>
      </c>
    </row>
    <row r="58" spans="1:17" x14ac:dyDescent="0.45">
      <c r="A58">
        <v>0.255</v>
      </c>
      <c r="B58">
        <f t="shared" si="9"/>
        <v>-0.14555688966263211</v>
      </c>
      <c r="C58">
        <f t="shared" si="14"/>
        <v>0.30555688966263211</v>
      </c>
      <c r="D58">
        <f t="shared" si="10"/>
        <v>0.12681517057670191</v>
      </c>
      <c r="E58">
        <f t="shared" si="0"/>
        <v>2.0552268865526545E-2</v>
      </c>
      <c r="F58">
        <f t="shared" si="1"/>
        <v>4.3567277241553404E-2</v>
      </c>
      <c r="G58">
        <f t="shared" si="2"/>
        <v>2.0672128392423841E-2</v>
      </c>
      <c r="H58">
        <f t="shared" si="11"/>
        <v>2.4694639604070208E-2</v>
      </c>
      <c r="I58">
        <f t="shared" si="12"/>
        <v>-2.9580405938946924E-3</v>
      </c>
      <c r="J58">
        <f t="shared" si="3"/>
        <v>-9.171596701710194E-3</v>
      </c>
      <c r="K58">
        <f t="shared" si="4"/>
        <v>4.0828403298289809E-2</v>
      </c>
      <c r="L58">
        <f t="shared" si="5"/>
        <v>-5.9171596701710197E-2</v>
      </c>
      <c r="M58">
        <f t="shared" si="13"/>
        <v>5.7877855841628079E-2</v>
      </c>
      <c r="N58">
        <f t="shared" si="17"/>
        <v>-5.9171596701710197E-2</v>
      </c>
      <c r="O58">
        <f t="shared" si="6"/>
        <v>0.30555688966263211</v>
      </c>
      <c r="P58">
        <f t="shared" si="15"/>
        <v>-4.5618870933484629E-2</v>
      </c>
      <c r="Q58">
        <f t="shared" si="16"/>
        <v>0.32402036892295633</v>
      </c>
    </row>
    <row r="59" spans="1:17" x14ac:dyDescent="0.45">
      <c r="A59">
        <v>0.26</v>
      </c>
      <c r="B59">
        <f t="shared" si="9"/>
        <v>-0.14122237461282944</v>
      </c>
      <c r="C59">
        <f t="shared" si="14"/>
        <v>0.30122237461282941</v>
      </c>
      <c r="D59">
        <f t="shared" si="10"/>
        <v>0.12565929989675453</v>
      </c>
      <c r="E59">
        <f t="shared" si="0"/>
        <v>1.8746793553559113E-2</v>
      </c>
      <c r="F59">
        <f t="shared" si="1"/>
        <v>3.9199472085586273E-2</v>
      </c>
      <c r="G59">
        <f t="shared" si="2"/>
        <v>2.0801312224323708E-2</v>
      </c>
      <c r="H59">
        <f t="shared" si="11"/>
        <v>2.2532808434506037E-2</v>
      </c>
      <c r="I59">
        <f t="shared" si="12"/>
        <v>-6.2007873482409354E-3</v>
      </c>
      <c r="J59">
        <f t="shared" si="3"/>
        <v>-1.1879809669661331E-2</v>
      </c>
      <c r="K59">
        <f t="shared" si="4"/>
        <v>3.8120190330338671E-2</v>
      </c>
      <c r="L59">
        <f t="shared" si="5"/>
        <v>-6.1879809669661334E-2</v>
      </c>
      <c r="M59">
        <f t="shared" si="13"/>
        <v>5.7013123373802418E-2</v>
      </c>
      <c r="N59">
        <f t="shared" si="17"/>
        <v>-6.1879809669661334E-2</v>
      </c>
      <c r="O59">
        <f t="shared" si="6"/>
        <v>0.30122237461282941</v>
      </c>
      <c r="P59">
        <f t="shared" si="15"/>
        <v>-4.9433913866478801E-2</v>
      </c>
      <c r="Q59">
        <f t="shared" si="16"/>
        <v>0.31922998894595317</v>
      </c>
    </row>
    <row r="60" spans="1:17" x14ac:dyDescent="0.45">
      <c r="A60">
        <v>0.26500000000000001</v>
      </c>
      <c r="B60">
        <f t="shared" si="9"/>
        <v>-0.13699487912092093</v>
      </c>
      <c r="C60">
        <f t="shared" si="14"/>
        <v>0.29699487912092093</v>
      </c>
      <c r="D60">
        <f t="shared" si="10"/>
        <v>0.12453196776557893</v>
      </c>
      <c r="E60">
        <f t="shared" si="0"/>
        <v>1.7110227777815776E-2</v>
      </c>
      <c r="F60">
        <f t="shared" si="1"/>
        <v>3.5008750953723008E-2</v>
      </c>
      <c r="G60">
        <f t="shared" si="2"/>
        <v>2.1037134247937669E-2</v>
      </c>
      <c r="H60">
        <f t="shared" si="11"/>
        <v>2.0552268865526545E-2</v>
      </c>
      <c r="I60">
        <f t="shared" si="12"/>
        <v>-9.171596701710194E-3</v>
      </c>
      <c r="J60">
        <f t="shared" si="3"/>
        <v>-1.4334658333276323E-2</v>
      </c>
      <c r="K60">
        <f t="shared" si="4"/>
        <v>3.5665341666723679E-2</v>
      </c>
      <c r="L60">
        <f t="shared" si="5"/>
        <v>-6.4334658333276326E-2</v>
      </c>
      <c r="M60">
        <f t="shared" si="13"/>
        <v>5.6220907546210619E-2</v>
      </c>
      <c r="N60">
        <f t="shared" si="17"/>
        <v>-6.4334658333276326E-2</v>
      </c>
      <c r="O60">
        <f t="shared" si="6"/>
        <v>0.29699487912092093</v>
      </c>
      <c r="P60">
        <f t="shared" si="15"/>
        <v>-5.2958040593894695E-2</v>
      </c>
      <c r="Q60">
        <f t="shared" si="16"/>
        <v>0.31455788387200001</v>
      </c>
    </row>
    <row r="61" spans="1:17" x14ac:dyDescent="0.45">
      <c r="A61">
        <v>0.27</v>
      </c>
      <c r="B61">
        <f t="shared" si="9"/>
        <v>-0.13287176086460742</v>
      </c>
      <c r="C61">
        <f t="shared" si="14"/>
        <v>0.29287176086460742</v>
      </c>
      <c r="D61">
        <f t="shared" si="10"/>
        <v>0.12343246956389532</v>
      </c>
      <c r="E61">
        <f t="shared" si="0"/>
        <v>1.5636494022793559E-2</v>
      </c>
      <c r="F61">
        <f t="shared" si="1"/>
        <v>3.0993596769629289E-2</v>
      </c>
      <c r="G61">
        <f t="shared" si="2"/>
        <v>2.1371725853402586E-2</v>
      </c>
      <c r="H61">
        <f t="shared" si="11"/>
        <v>1.8746793553559113E-2</v>
      </c>
      <c r="I61">
        <f t="shared" si="12"/>
        <v>-1.1879809669661331E-2</v>
      </c>
      <c r="J61">
        <f t="shared" si="3"/>
        <v>-1.6545258965809675E-2</v>
      </c>
      <c r="K61">
        <f t="shared" si="4"/>
        <v>3.3454741034190327E-2</v>
      </c>
      <c r="L61">
        <f t="shared" si="5"/>
        <v>-6.6545258965809678E-2</v>
      </c>
      <c r="M61">
        <f t="shared" si="13"/>
        <v>5.5498717421423642E-2</v>
      </c>
      <c r="N61">
        <f t="shared" si="17"/>
        <v>-6.6545258965809678E-2</v>
      </c>
      <c r="O61">
        <f t="shared" si="6"/>
        <v>0.29287176086460742</v>
      </c>
      <c r="P61">
        <f t="shared" si="15"/>
        <v>-5.6200787348240938E-2</v>
      </c>
      <c r="Q61">
        <f t="shared" si="16"/>
        <v>0.31000113348333552</v>
      </c>
    </row>
    <row r="62" spans="1:17" x14ac:dyDescent="0.45">
      <c r="A62">
        <v>0.27500000000000002</v>
      </c>
      <c r="B62">
        <f t="shared" si="9"/>
        <v>-0.12885044276075988</v>
      </c>
      <c r="C62">
        <f t="shared" si="14"/>
        <v>0.28885044276075988</v>
      </c>
      <c r="D62">
        <f t="shared" si="10"/>
        <v>0.12236011806953598</v>
      </c>
      <c r="E62">
        <f t="shared" si="0"/>
        <v>1.431959623537131E-2</v>
      </c>
      <c r="F62">
        <f t="shared" si="1"/>
        <v>2.7152370148387006E-2</v>
      </c>
      <c r="G62">
        <f t="shared" si="2"/>
        <v>2.1797572163412327E-2</v>
      </c>
      <c r="H62">
        <f t="shared" si="11"/>
        <v>1.7110227777815776E-2</v>
      </c>
      <c r="I62">
        <f t="shared" si="12"/>
        <v>-1.4334658333276323E-2</v>
      </c>
      <c r="J62">
        <f t="shared" si="3"/>
        <v>-1.8520605646943036E-2</v>
      </c>
      <c r="K62">
        <f t="shared" si="4"/>
        <v>3.1479394353056966E-2</v>
      </c>
      <c r="L62">
        <f t="shared" si="5"/>
        <v>-6.8520605646943039E-2</v>
      </c>
      <c r="M62">
        <f t="shared" si="13"/>
        <v>5.4844091111126314E-2</v>
      </c>
      <c r="N62">
        <f t="shared" si="17"/>
        <v>-6.8520605646943039E-2</v>
      </c>
      <c r="O62">
        <f t="shared" si="6"/>
        <v>0.28885044276075988</v>
      </c>
      <c r="P62">
        <f t="shared" si="15"/>
        <v>-5.9171596701710197E-2</v>
      </c>
      <c r="Q62">
        <f t="shared" si="16"/>
        <v>0.30555688966263211</v>
      </c>
    </row>
    <row r="63" spans="1:17" x14ac:dyDescent="0.45">
      <c r="A63">
        <v>0.28000000000000003</v>
      </c>
      <c r="B63">
        <f t="shared" si="9"/>
        <v>-0.12492841135465843</v>
      </c>
      <c r="C63">
        <f t="shared" si="14"/>
        <v>0.28492841135465841</v>
      </c>
      <c r="D63">
        <f t="shared" si="10"/>
        <v>0.12131424302790893</v>
      </c>
      <c r="E63">
        <f t="shared" si="0"/>
        <v>1.315362376675322E-2</v>
      </c>
      <c r="F63">
        <f t="shared" si="1"/>
        <v>2.3483314836619924E-2</v>
      </c>
      <c r="G63">
        <f t="shared" si="2"/>
        <v>2.230750213596417E-2</v>
      </c>
      <c r="H63">
        <f t="shared" si="11"/>
        <v>1.5636494022793559E-2</v>
      </c>
      <c r="I63">
        <f t="shared" si="12"/>
        <v>-1.6545258965809675E-2</v>
      </c>
      <c r="J63">
        <f t="shared" si="3"/>
        <v>-2.0269564349870164E-2</v>
      </c>
      <c r="K63">
        <f t="shared" si="4"/>
        <v>2.9730435650129838E-2</v>
      </c>
      <c r="L63">
        <f t="shared" si="5"/>
        <v>-7.0269564349870167E-2</v>
      </c>
      <c r="M63">
        <f t="shared" si="13"/>
        <v>5.4254597609117418E-2</v>
      </c>
      <c r="N63">
        <f t="shared" si="17"/>
        <v>-7.0269564349870167E-2</v>
      </c>
      <c r="O63">
        <f t="shared" si="6"/>
        <v>0.28492841135465841</v>
      </c>
      <c r="P63">
        <f t="shared" si="15"/>
        <v>-6.1879809669661334E-2</v>
      </c>
      <c r="Q63">
        <f t="shared" si="16"/>
        <v>0.30122237461282941</v>
      </c>
    </row>
    <row r="64" spans="1:17" x14ac:dyDescent="0.45">
      <c r="A64">
        <v>0.28499999999999998</v>
      </c>
      <c r="B64">
        <f t="shared" si="9"/>
        <v>-0.12110321524900125</v>
      </c>
      <c r="C64">
        <f t="shared" si="14"/>
        <v>0.28110321524900123</v>
      </c>
      <c r="D64">
        <f t="shared" si="10"/>
        <v>0.12029419073306701</v>
      </c>
      <c r="E64">
        <f t="shared" si="0"/>
        <v>1.2132755009426205E-2</v>
      </c>
      <c r="F64">
        <f t="shared" si="1"/>
        <v>1.9984563094511625E-2</v>
      </c>
      <c r="G64">
        <f t="shared" si="2"/>
        <v>2.2894678683163264E-2</v>
      </c>
      <c r="H64">
        <f t="shared" si="11"/>
        <v>1.431959623537131E-2</v>
      </c>
      <c r="I64">
        <f t="shared" si="12"/>
        <v>-1.8520605646943036E-2</v>
      </c>
      <c r="J64">
        <f t="shared" si="3"/>
        <v>-2.18008674858607E-2</v>
      </c>
      <c r="K64">
        <f t="shared" si="4"/>
        <v>2.8199132514139302E-2</v>
      </c>
      <c r="L64">
        <f t="shared" si="5"/>
        <v>-7.1800867485860703E-2</v>
      </c>
      <c r="M64">
        <f t="shared" si="13"/>
        <v>5.3727838494148528E-2</v>
      </c>
      <c r="N64">
        <f t="shared" si="17"/>
        <v>-7.1800867485860703E-2</v>
      </c>
      <c r="O64">
        <f t="shared" si="6"/>
        <v>0.28110321524900123</v>
      </c>
      <c r="P64">
        <f t="shared" si="15"/>
        <v>-6.4334658333276326E-2</v>
      </c>
      <c r="Q64">
        <f t="shared" si="16"/>
        <v>0.29699487912092093</v>
      </c>
    </row>
    <row r="65" spans="1:17" x14ac:dyDescent="0.45">
      <c r="A65">
        <v>0.28999999999999998</v>
      </c>
      <c r="B65">
        <f t="shared" si="9"/>
        <v>-0.11737246357170161</v>
      </c>
      <c r="C65">
        <f t="shared" si="14"/>
        <v>0.27737246357170159</v>
      </c>
      <c r="D65">
        <f t="shared" si="10"/>
        <v>0.11929932361912043</v>
      </c>
      <c r="E65">
        <f t="shared" si="0"/>
        <v>1.1251260739204516E-2</v>
      </c>
      <c r="F65">
        <f t="shared" si="1"/>
        <v>1.6654141016331461E-2</v>
      </c>
      <c r="G65">
        <f t="shared" si="2"/>
        <v>2.3552588824266849E-2</v>
      </c>
      <c r="H65">
        <f t="shared" si="11"/>
        <v>1.315362376675322E-2</v>
      </c>
      <c r="I65">
        <f t="shared" si="12"/>
        <v>-2.0269564349870164E-2</v>
      </c>
      <c r="J65">
        <f t="shared" si="3"/>
        <v>-2.3123108891193234E-2</v>
      </c>
      <c r="K65">
        <f t="shared" si="4"/>
        <v>2.6876891108806769E-2</v>
      </c>
      <c r="L65">
        <f t="shared" si="5"/>
        <v>-7.3123108891193236E-2</v>
      </c>
      <c r="M65">
        <f t="shared" si="13"/>
        <v>5.3261449506701294E-2</v>
      </c>
      <c r="N65">
        <f t="shared" si="17"/>
        <v>-7.3123108891193236E-2</v>
      </c>
      <c r="O65">
        <f t="shared" si="6"/>
        <v>0.27737246357170159</v>
      </c>
      <c r="P65">
        <f t="shared" si="15"/>
        <v>-6.6545258965809678E-2</v>
      </c>
      <c r="Q65">
        <f t="shared" si="16"/>
        <v>0.29287176086460742</v>
      </c>
    </row>
    <row r="66" spans="1:17" x14ac:dyDescent="0.45">
      <c r="A66">
        <v>0.29499999999999998</v>
      </c>
      <c r="B66">
        <f t="shared" si="9"/>
        <v>-0.11373382448151501</v>
      </c>
      <c r="C66">
        <f t="shared" si="14"/>
        <v>0.27373382448151501</v>
      </c>
      <c r="D66">
        <f t="shared" si="10"/>
        <v>0.11832901986173734</v>
      </c>
      <c r="E66">
        <f t="shared" si="0"/>
        <v>1.0503507172332921E-2</v>
      </c>
      <c r="F66">
        <f t="shared" si="1"/>
        <v>1.3489973786251136E-2</v>
      </c>
      <c r="G66">
        <f t="shared" si="2"/>
        <v>2.4275033889820344E-2</v>
      </c>
      <c r="H66">
        <f t="shared" si="11"/>
        <v>1.2132755009426205E-2</v>
      </c>
      <c r="I66">
        <f t="shared" si="12"/>
        <v>-2.18008674858607E-2</v>
      </c>
      <c r="J66">
        <f t="shared" si="3"/>
        <v>-2.4244739241500626E-2</v>
      </c>
      <c r="K66">
        <f t="shared" si="4"/>
        <v>2.5755260758499376E-2</v>
      </c>
      <c r="L66">
        <f t="shared" si="5"/>
        <v>-7.4244739241500629E-2</v>
      </c>
      <c r="M66">
        <f t="shared" si="13"/>
        <v>5.2853102003770476E-2</v>
      </c>
      <c r="N66">
        <f t="shared" si="17"/>
        <v>-7.4244739241500629E-2</v>
      </c>
      <c r="O66">
        <f t="shared" si="6"/>
        <v>0.27373382448151501</v>
      </c>
      <c r="P66">
        <f t="shared" si="15"/>
        <v>-6.8520605646943039E-2</v>
      </c>
      <c r="Q66">
        <f t="shared" si="16"/>
        <v>0.28885044276075988</v>
      </c>
    </row>
    <row r="67" spans="1:17" x14ac:dyDescent="0.45">
      <c r="A67">
        <v>0.3</v>
      </c>
      <c r="B67">
        <f t="shared" si="9"/>
        <v>-0.11018502371056219</v>
      </c>
      <c r="C67">
        <f t="shared" si="14"/>
        <v>0.27018502371056219</v>
      </c>
      <c r="D67">
        <f t="shared" si="10"/>
        <v>0.11738267298948325</v>
      </c>
      <c r="E67">
        <f t="shared" si="0"/>
        <v>9.883958747510177E-3</v>
      </c>
      <c r="F67">
        <f t="shared" si="1"/>
        <v>1.04898908663974E-2</v>
      </c>
      <c r="G67">
        <f t="shared" si="2"/>
        <v>2.5056119792467163E-2</v>
      </c>
      <c r="H67">
        <f t="shared" si="11"/>
        <v>1.1251260739204516E-2</v>
      </c>
      <c r="I67">
        <f t="shared" si="12"/>
        <v>-2.3123108891193234E-2</v>
      </c>
      <c r="J67">
        <f t="shared" si="3"/>
        <v>-2.5174061878734763E-2</v>
      </c>
      <c r="K67">
        <f t="shared" si="4"/>
        <v>2.482593812126524E-2</v>
      </c>
      <c r="L67">
        <f t="shared" si="5"/>
        <v>-7.5174061878734766E-2</v>
      </c>
      <c r="M67">
        <f t="shared" si="13"/>
        <v>5.2500504295681802E-2</v>
      </c>
      <c r="N67">
        <f t="shared" si="17"/>
        <v>-7.5174061878734766E-2</v>
      </c>
      <c r="O67">
        <f t="shared" si="6"/>
        <v>0.27018502371056219</v>
      </c>
      <c r="P67">
        <f t="shared" si="15"/>
        <v>-7.0269564349870167E-2</v>
      </c>
      <c r="Q67">
        <f t="shared" si="16"/>
        <v>0.28492841135465841</v>
      </c>
    </row>
    <row r="68" spans="1:17" x14ac:dyDescent="0.45">
      <c r="A68">
        <v>0.30499999999999999</v>
      </c>
      <c r="B68">
        <f t="shared" si="9"/>
        <v>-0.10672384314283814</v>
      </c>
      <c r="C68">
        <f t="shared" si="14"/>
        <v>0.26672384314283815</v>
      </c>
      <c r="D68">
        <f t="shared" si="10"/>
        <v>0.11645969150475685</v>
      </c>
      <c r="E68">
        <f t="shared" si="0"/>
        <v>9.3871806425756404E-3</v>
      </c>
      <c r="F68">
        <f t="shared" si="1"/>
        <v>7.6516311142496157E-3</v>
      </c>
      <c r="G68">
        <f t="shared" si="2"/>
        <v>2.589024737880085E-2</v>
      </c>
      <c r="H68">
        <f t="shared" si="11"/>
        <v>1.0503507172332921E-2</v>
      </c>
      <c r="I68">
        <f t="shared" si="12"/>
        <v>-2.4244739241500626E-2</v>
      </c>
      <c r="J68">
        <f t="shared" si="3"/>
        <v>-2.5919229036136526E-2</v>
      </c>
      <c r="K68">
        <f t="shared" si="4"/>
        <v>2.4080770963863476E-2</v>
      </c>
      <c r="L68">
        <f t="shared" si="5"/>
        <v>-7.5919229036136529E-2</v>
      </c>
      <c r="M68">
        <f t="shared" si="13"/>
        <v>5.2201402868933162E-2</v>
      </c>
      <c r="N68">
        <f t="shared" si="17"/>
        <v>-7.5919229036136529E-2</v>
      </c>
      <c r="O68">
        <f t="shared" si="6"/>
        <v>0.26672384314283815</v>
      </c>
      <c r="P68">
        <f t="shared" si="15"/>
        <v>-7.1800867485860703E-2</v>
      </c>
      <c r="Q68">
        <f t="shared" si="16"/>
        <v>0.28110321524900123</v>
      </c>
    </row>
    <row r="69" spans="1:17" x14ac:dyDescent="0.45">
      <c r="A69">
        <v>0.31</v>
      </c>
      <c r="B69">
        <f t="shared" si="9"/>
        <v>-0.10334811942781699</v>
      </c>
      <c r="C69">
        <f t="shared" si="14"/>
        <v>0.263348119427817</v>
      </c>
      <c r="D69">
        <f t="shared" si="10"/>
        <v>0.11555949851408454</v>
      </c>
      <c r="E69">
        <f t="shared" si="0"/>
        <v>9.0078410354783034E-3</v>
      </c>
      <c r="F69">
        <f t="shared" si="1"/>
        <v>4.9728478266489184E-3</v>
      </c>
      <c r="G69">
        <f t="shared" si="2"/>
        <v>2.6772102875472187E-2</v>
      </c>
      <c r="H69">
        <f t="shared" si="11"/>
        <v>9.883958747510177E-3</v>
      </c>
      <c r="I69">
        <f t="shared" si="12"/>
        <v>-2.5174061878734763E-2</v>
      </c>
      <c r="J69">
        <f t="shared" si="3"/>
        <v>-2.6488238446782525E-2</v>
      </c>
      <c r="K69">
        <f t="shared" si="4"/>
        <v>2.3511761553217478E-2</v>
      </c>
      <c r="L69">
        <f t="shared" si="5"/>
        <v>-7.6488238446782528E-2</v>
      </c>
      <c r="M69">
        <f t="shared" si="13"/>
        <v>5.1953583499004072E-2</v>
      </c>
      <c r="N69">
        <f t="shared" si="17"/>
        <v>-7.6488238446782528E-2</v>
      </c>
      <c r="O69">
        <f t="shared" si="6"/>
        <v>0.263348119427817</v>
      </c>
      <c r="P69">
        <f t="shared" si="15"/>
        <v>-7.3123108891193236E-2</v>
      </c>
      <c r="Q69">
        <f t="shared" si="16"/>
        <v>0.27737246357170159</v>
      </c>
    </row>
    <row r="70" spans="1:17" x14ac:dyDescent="0.45">
      <c r="A70">
        <v>0.315</v>
      </c>
      <c r="B70">
        <f t="shared" si="9"/>
        <v>-0.10005574262828781</v>
      </c>
      <c r="C70">
        <f t="shared" si="14"/>
        <v>0.26005574262828779</v>
      </c>
      <c r="D70">
        <f t="shared" si="10"/>
        <v>0.11468153136754342</v>
      </c>
      <c r="E70">
        <f t="shared" si="0"/>
        <v>8.740713119014476E-3</v>
      </c>
      <c r="F70">
        <f t="shared" si="1"/>
        <v>2.451113707844621E-3</v>
      </c>
      <c r="G70">
        <f t="shared" si="2"/>
        <v>2.769664844166185E-2</v>
      </c>
      <c r="H70">
        <f t="shared" si="11"/>
        <v>9.3871806425756404E-3</v>
      </c>
      <c r="I70">
        <f t="shared" si="12"/>
        <v>-2.5919229036136526E-2</v>
      </c>
      <c r="J70">
        <f t="shared" si="3"/>
        <v>-2.688893032147828E-2</v>
      </c>
      <c r="K70">
        <f t="shared" si="4"/>
        <v>2.3111069678521723E-2</v>
      </c>
      <c r="L70">
        <f t="shared" si="5"/>
        <v>-7.6888930321478283E-2</v>
      </c>
      <c r="M70">
        <f t="shared" si="13"/>
        <v>5.1754872257030259E-2</v>
      </c>
      <c r="N70">
        <f t="shared" si="17"/>
        <v>-7.6888930321478283E-2</v>
      </c>
      <c r="O70">
        <f t="shared" si="6"/>
        <v>0.26005574262828779</v>
      </c>
      <c r="P70">
        <f t="shared" si="15"/>
        <v>-7.4244739241500629E-2</v>
      </c>
      <c r="Q70">
        <f t="shared" si="16"/>
        <v>0.27373382448151501</v>
      </c>
    </row>
    <row r="71" spans="1:17" x14ac:dyDescent="0.45">
      <c r="A71">
        <v>0.32</v>
      </c>
      <c r="B71">
        <f t="shared" si="9"/>
        <v>-9.6844654901574845E-2</v>
      </c>
      <c r="C71">
        <f t="shared" si="14"/>
        <v>0.25684465490157482</v>
      </c>
      <c r="D71">
        <f t="shared" si="10"/>
        <v>0.11382524130708663</v>
      </c>
      <c r="E71">
        <f t="shared" ref="E71:E134" si="18">P0-SIGN(DeltaThetaDeg)*EXP(-Xi*Wn*A71)*(COS(Wd*A71)-(Xi*Wn-1)/(Wd)*SIN(Wd*A71))*Ppeak</f>
        <v>8.5806768786841903E-3</v>
      </c>
      <c r="F71">
        <f t="shared" ref="F71:F134" si="19">P0-SIGN(DeltaThetaDeg)*EXP(-Ximin*Wnmin*A71)*(COS(Wdmin*A71)-(Ximin*Wnmin-1)/(Wdmin)*SIN(Wdmin*A71))*Ppeak</f>
        <v>8.3925759156125435E-5</v>
      </c>
      <c r="G71">
        <f t="shared" ref="G71:G134" si="20">P0-SIGN(DeltaThetaDeg)*EXP(-Ximax*Wnmax*A71)*(COS(Wdmax*A71)-(Ximax*Wnmax-1)/(Wdmax)*SIN(Wdmax*A71))*Ppeak</f>
        <v>2.8659112838979844E-2</v>
      </c>
      <c r="H71">
        <f t="shared" si="11"/>
        <v>9.0078410354783034E-3</v>
      </c>
      <c r="I71">
        <f t="shared" si="12"/>
        <v>-2.6488238446782525E-2</v>
      </c>
      <c r="J71">
        <f t="shared" ref="J71:J134" si="21">P0-SIGN(DeltaThetaDeg)*(1+Marge_haute)*EXP(-Xi*Wn*A71)*(COS(Wd*A71)-(Xi*Wn-1)/(Wd)*SIN(Wd*A71))*Ppeak</f>
        <v>-2.7128984681973708E-2</v>
      </c>
      <c r="K71">
        <f t="shared" ref="K71:K134" si="22">J71-SIGN(DeltaThetaDeg)*Tunnel</f>
        <v>2.2871015318026294E-2</v>
      </c>
      <c r="L71">
        <f t="shared" ref="L71:L134" si="23">J71+SIGN(DeltaThetaDeg)*Tunnel</f>
        <v>-7.7128984681973711E-2</v>
      </c>
      <c r="M71">
        <f t="shared" si="13"/>
        <v>5.1603136414191328E-2</v>
      </c>
      <c r="N71">
        <f t="shared" si="17"/>
        <v>-7.7128984681973711E-2</v>
      </c>
      <c r="O71">
        <f t="shared" ref="O71:O134" si="24">IF(SIGN(DeltaThetaDeg)=1,MIN(B71,$S$6-SIGN(DeltaThetaDeg)*$W$13,F71),MAX(G71,P0+Tunnel,C71))</f>
        <v>0.25684465490157482</v>
      </c>
      <c r="P71">
        <f t="shared" si="15"/>
        <v>-7.5174061878734766E-2</v>
      </c>
      <c r="Q71">
        <f t="shared" si="16"/>
        <v>0.27018502371056219</v>
      </c>
    </row>
    <row r="72" spans="1:17" x14ac:dyDescent="0.45">
      <c r="A72">
        <v>0.32500000000000001</v>
      </c>
      <c r="B72">
        <f t="shared" si="9"/>
        <v>-9.3712849213319196E-2</v>
      </c>
      <c r="C72">
        <f t="shared" si="14"/>
        <v>0.25371284921331921</v>
      </c>
      <c r="D72">
        <f t="shared" si="10"/>
        <v>0.11299009312355179</v>
      </c>
      <c r="E72">
        <f t="shared" si="18"/>
        <v>8.5227206428717256E-3</v>
      </c>
      <c r="F72">
        <f t="shared" si="19"/>
        <v>-2.1312899120170536E-3</v>
      </c>
      <c r="G72">
        <f t="shared" si="20"/>
        <v>2.9654982228855931E-2</v>
      </c>
      <c r="H72">
        <f t="shared" si="11"/>
        <v>8.740713119014476E-3</v>
      </c>
      <c r="I72">
        <f t="shared" si="12"/>
        <v>-2.688893032147828E-2</v>
      </c>
      <c r="J72">
        <f t="shared" si="21"/>
        <v>-2.7215919035692412E-2</v>
      </c>
      <c r="K72">
        <f t="shared" si="22"/>
        <v>2.278408096430759E-2</v>
      </c>
      <c r="L72">
        <f t="shared" si="23"/>
        <v>-7.7215919035692415E-2</v>
      </c>
      <c r="M72">
        <f t="shared" si="13"/>
        <v>5.1496285247605786E-2</v>
      </c>
      <c r="N72">
        <f t="shared" si="17"/>
        <v>-7.7215919035692415E-2</v>
      </c>
      <c r="O72">
        <f t="shared" si="24"/>
        <v>0.25371284921331921</v>
      </c>
      <c r="P72">
        <f t="shared" si="15"/>
        <v>-7.5919229036136529E-2</v>
      </c>
      <c r="Q72">
        <f t="shared" si="16"/>
        <v>0.26672384314283815</v>
      </c>
    </row>
    <row r="73" spans="1:17" x14ac:dyDescent="0.45">
      <c r="A73">
        <v>0.33</v>
      </c>
      <c r="B73">
        <f t="shared" ref="B73:B136" si="25">P0-Ppeak*(1+Marge_haute)*EXP(-Sigma*A71)-Tunnel</f>
        <v>-9.0658368083016708E-2</v>
      </c>
      <c r="C73">
        <f t="shared" ref="C73:C136" si="26">P0+Ppeak*(1+Marge_haute)*EXP(-Sigma*A71)+Tunnel</f>
        <v>0.25065836808301672</v>
      </c>
      <c r="D73">
        <f t="shared" ref="D73:D136" si="27">P0-SIGN(DeltaThetaDeg)*Marge_basse*Ppeak*EXP(-Sigma*A71)</f>
        <v>0.11217556482213779</v>
      </c>
      <c r="E73">
        <f t="shared" si="18"/>
        <v>8.5619424144083855E-3</v>
      </c>
      <c r="F73">
        <f t="shared" si="19"/>
        <v>-4.1971733659566801E-3</v>
      </c>
      <c r="G73">
        <f t="shared" si="20"/>
        <v>3.0679991106536089E-2</v>
      </c>
      <c r="H73">
        <f t="shared" ref="H73:H136" si="28">P0-SIGN(DeltaThetaDeg)*EXP(-Xi*Wn*A71)*(COS(Wd*A71)-(Xi*Wn-1)/(Wd)*SIN(Wd*A71))*Ppeak</f>
        <v>8.5806768786841903E-3</v>
      </c>
      <c r="I73">
        <f t="shared" ref="I73:I136" si="29">P0-SIGN(DeltaThetaDeg)*(1+Marge_haute)*EXP(-Xi*Wn*A71)*(COS(Wd*A71)-(Xi*Wn-1)/(Wd)*SIN(Wd*A71))*Ppeak</f>
        <v>-2.7128984681973708E-2</v>
      </c>
      <c r="J73">
        <f t="shared" si="21"/>
        <v>-2.7157086378387429E-2</v>
      </c>
      <c r="K73">
        <f t="shared" si="22"/>
        <v>2.2842913621612573E-2</v>
      </c>
      <c r="L73">
        <f t="shared" si="23"/>
        <v>-7.7157086378387432E-2</v>
      </c>
      <c r="M73">
        <f t="shared" ref="M73:M136" si="30">P0-SIGN(DeltaThetaDeg)*Marge_basse*EXP(-Xi*Wn*A71)*(COS(Wd*A71)-(Xi*Wn-1)/(Wd)*SIN(Wd*A71))*Ppeak</f>
        <v>5.1432270751473677E-2</v>
      </c>
      <c r="N73">
        <f t="shared" si="17"/>
        <v>-7.7157086378387432E-2</v>
      </c>
      <c r="O73">
        <f t="shared" si="24"/>
        <v>0.25065836808301672</v>
      </c>
      <c r="P73">
        <f t="shared" si="15"/>
        <v>-7.6488238446782528E-2</v>
      </c>
      <c r="Q73">
        <f t="shared" si="16"/>
        <v>0.263348119427817</v>
      </c>
    </row>
    <row r="74" spans="1:17" x14ac:dyDescent="0.45">
      <c r="A74">
        <v>0.33500000000000002</v>
      </c>
      <c r="B74">
        <f t="shared" si="25"/>
        <v>-8.7679302360529232E-2</v>
      </c>
      <c r="C74">
        <f t="shared" si="26"/>
        <v>0.24767930236052921</v>
      </c>
      <c r="D74">
        <f t="shared" si="27"/>
        <v>0.11138114729614113</v>
      </c>
      <c r="E74">
        <f t="shared" si="18"/>
        <v>8.693550992421431E-3</v>
      </c>
      <c r="F74">
        <f t="shared" si="19"/>
        <v>-6.1164261891306221E-3</v>
      </c>
      <c r="G74">
        <f t="shared" si="20"/>
        <v>3.173011337990117E-2</v>
      </c>
      <c r="H74">
        <f t="shared" si="28"/>
        <v>8.5227206428717256E-3</v>
      </c>
      <c r="I74">
        <f t="shared" si="29"/>
        <v>-2.7215919035692412E-2</v>
      </c>
      <c r="J74">
        <f t="shared" si="21"/>
        <v>-2.6959673511367854E-2</v>
      </c>
      <c r="K74">
        <f t="shared" si="22"/>
        <v>2.3040326488632148E-2</v>
      </c>
      <c r="L74">
        <f t="shared" si="23"/>
        <v>-7.6959673511367857E-2</v>
      </c>
      <c r="M74">
        <f t="shared" si="30"/>
        <v>5.1409088257148683E-2</v>
      </c>
      <c r="N74">
        <f t="shared" si="17"/>
        <v>-7.6959673511367857E-2</v>
      </c>
      <c r="O74">
        <f t="shared" si="24"/>
        <v>0.24767930236052921</v>
      </c>
      <c r="P74">
        <f t="shared" si="15"/>
        <v>-7.6888930321478283E-2</v>
      </c>
      <c r="Q74">
        <f t="shared" si="16"/>
        <v>0.26005574262828779</v>
      </c>
    </row>
    <row r="75" spans="1:17" x14ac:dyDescent="0.45">
      <c r="A75">
        <v>0.34</v>
      </c>
      <c r="B75">
        <f t="shared" si="25"/>
        <v>-8.4773790032803303E-2</v>
      </c>
      <c r="C75">
        <f t="shared" si="26"/>
        <v>0.24477379003280331</v>
      </c>
      <c r="D75">
        <f t="shared" si="27"/>
        <v>0.11060634400874755</v>
      </c>
      <c r="E75">
        <f t="shared" si="18"/>
        <v>8.9128668932168253E-3</v>
      </c>
      <c r="F75">
        <f t="shared" si="19"/>
        <v>-7.8918069392680534E-3</v>
      </c>
      <c r="G75">
        <f t="shared" si="20"/>
        <v>3.2801553600469303E-2</v>
      </c>
      <c r="H75">
        <f t="shared" si="28"/>
        <v>8.5619424144083855E-3</v>
      </c>
      <c r="I75">
        <f t="shared" si="29"/>
        <v>-2.7157086378387429E-2</v>
      </c>
      <c r="J75">
        <f t="shared" si="21"/>
        <v>-2.663069966017477E-2</v>
      </c>
      <c r="K75">
        <f t="shared" si="22"/>
        <v>2.3369300339825233E-2</v>
      </c>
      <c r="L75">
        <f t="shared" si="23"/>
        <v>-7.6630699660174773E-2</v>
      </c>
      <c r="M75">
        <f t="shared" si="30"/>
        <v>5.142477696576335E-2</v>
      </c>
      <c r="N75">
        <f t="shared" si="17"/>
        <v>-7.6630699660174773E-2</v>
      </c>
      <c r="O75">
        <f t="shared" si="24"/>
        <v>0.24477379003280331</v>
      </c>
      <c r="P75">
        <f t="shared" ref="P75:P138" si="31">IF(EMT_simulation,N71,N75)</f>
        <v>-7.7128984681973711E-2</v>
      </c>
      <c r="Q75">
        <f t="shared" ref="Q75:Q138" si="32">IF(EMT_simulation,O71,O75)</f>
        <v>0.25684465490157482</v>
      </c>
    </row>
    <row r="76" spans="1:17" x14ac:dyDescent="0.45">
      <c r="A76">
        <v>0.34499999999999997</v>
      </c>
      <c r="B76">
        <f t="shared" si="25"/>
        <v>-8.1940015060051732E-2</v>
      </c>
      <c r="C76">
        <f t="shared" si="26"/>
        <v>0.24194001506005175</v>
      </c>
      <c r="D76">
        <f t="shared" si="27"/>
        <v>0.10985067068268047</v>
      </c>
      <c r="E76">
        <f t="shared" si="18"/>
        <v>9.2153230787806323E-3</v>
      </c>
      <c r="F76">
        <f t="shared" si="19"/>
        <v>-9.5261266786926535E-3</v>
      </c>
      <c r="G76">
        <f t="shared" si="20"/>
        <v>3.3890738353135809E-2</v>
      </c>
      <c r="H76">
        <f t="shared" si="28"/>
        <v>8.693550992421431E-3</v>
      </c>
      <c r="I76">
        <f t="shared" si="29"/>
        <v>-2.6959673511367854E-2</v>
      </c>
      <c r="J76">
        <f t="shared" si="21"/>
        <v>-2.6177015381829039E-2</v>
      </c>
      <c r="K76">
        <f t="shared" si="22"/>
        <v>2.3822984618170964E-2</v>
      </c>
      <c r="L76">
        <f t="shared" si="23"/>
        <v>-7.6177015381829041E-2</v>
      </c>
      <c r="M76">
        <f t="shared" si="30"/>
        <v>5.1477420396968565E-2</v>
      </c>
      <c r="N76">
        <f t="shared" si="17"/>
        <v>-7.6177015381829041E-2</v>
      </c>
      <c r="O76">
        <f t="shared" si="24"/>
        <v>0.24194001506005175</v>
      </c>
      <c r="P76">
        <f t="shared" si="31"/>
        <v>-7.7215919035692415E-2</v>
      </c>
      <c r="Q76">
        <f t="shared" si="32"/>
        <v>0.25371284921331921</v>
      </c>
    </row>
    <row r="77" spans="1:17" x14ac:dyDescent="0.45">
      <c r="A77">
        <v>0.35</v>
      </c>
      <c r="B77">
        <f t="shared" si="25"/>
        <v>-7.9176206240669261E-2</v>
      </c>
      <c r="C77">
        <f t="shared" si="26"/>
        <v>0.23917620624066926</v>
      </c>
      <c r="D77">
        <f t="shared" si="27"/>
        <v>0.10911365499751181</v>
      </c>
      <c r="E77">
        <f t="shared" si="18"/>
        <v>9.5964655013208444E-3</v>
      </c>
      <c r="F77">
        <f t="shared" si="19"/>
        <v>-1.1022244597460165E-2</v>
      </c>
      <c r="G77">
        <f t="shared" si="20"/>
        <v>3.4994307810438545E-2</v>
      </c>
      <c r="H77">
        <f t="shared" si="28"/>
        <v>8.9128668932168253E-3</v>
      </c>
      <c r="I77">
        <f t="shared" si="29"/>
        <v>-2.663069966017477E-2</v>
      </c>
      <c r="J77">
        <f t="shared" si="21"/>
        <v>-2.5605301748018741E-2</v>
      </c>
      <c r="K77">
        <f t="shared" si="22"/>
        <v>2.4394698251981262E-2</v>
      </c>
      <c r="L77">
        <f t="shared" si="23"/>
        <v>-7.5605301748018744E-2</v>
      </c>
      <c r="M77">
        <f t="shared" si="30"/>
        <v>5.1565146757286726E-2</v>
      </c>
      <c r="N77">
        <f t="shared" ref="N77:N140" si="33">IF(SIGN(DeltaThetaDeg)=1,MAX(D77:M77),MIN(F77:M77))</f>
        <v>-7.5605301748018744E-2</v>
      </c>
      <c r="O77">
        <f t="shared" si="24"/>
        <v>0.23917620624066926</v>
      </c>
      <c r="P77">
        <f t="shared" si="31"/>
        <v>-7.7157086378387432E-2</v>
      </c>
      <c r="Q77">
        <f t="shared" si="32"/>
        <v>0.25065836808301672</v>
      </c>
    </row>
    <row r="78" spans="1:17" x14ac:dyDescent="0.45">
      <c r="A78">
        <v>0.35499999999999998</v>
      </c>
      <c r="B78">
        <f t="shared" si="25"/>
        <v>-7.6480636104174271E-2</v>
      </c>
      <c r="C78">
        <f t="shared" si="26"/>
        <v>0.23648063610417425</v>
      </c>
      <c r="D78">
        <f t="shared" si="27"/>
        <v>0.10839483629444648</v>
      </c>
      <c r="E78">
        <f t="shared" si="18"/>
        <v>1.0051953472101888E-2</v>
      </c>
      <c r="F78">
        <f t="shared" si="19"/>
        <v>-1.2383063727713306E-2</v>
      </c>
      <c r="G78">
        <f t="shared" si="20"/>
        <v>3.6109107456413367E-2</v>
      </c>
      <c r="H78">
        <f t="shared" si="28"/>
        <v>9.2153230787806323E-3</v>
      </c>
      <c r="I78">
        <f t="shared" si="29"/>
        <v>-2.6177015381829039E-2</v>
      </c>
      <c r="J78">
        <f t="shared" si="21"/>
        <v>-2.4922069791847176E-2</v>
      </c>
      <c r="K78">
        <f t="shared" si="22"/>
        <v>2.5077930208152827E-2</v>
      </c>
      <c r="L78">
        <f t="shared" si="23"/>
        <v>-7.4922069791847179E-2</v>
      </c>
      <c r="M78">
        <f t="shared" si="30"/>
        <v>5.1686129231512258E-2</v>
      </c>
      <c r="N78">
        <f t="shared" si="33"/>
        <v>-7.4922069791847179E-2</v>
      </c>
      <c r="O78">
        <f t="shared" si="24"/>
        <v>0.23648063610417425</v>
      </c>
      <c r="P78">
        <f t="shared" si="31"/>
        <v>-7.6959673511367857E-2</v>
      </c>
      <c r="Q78">
        <f t="shared" si="32"/>
        <v>0.24767930236052921</v>
      </c>
    </row>
    <row r="79" spans="1:17" x14ac:dyDescent="0.45">
      <c r="A79">
        <v>0.36</v>
      </c>
      <c r="B79">
        <f t="shared" si="25"/>
        <v>-7.3851619831483112E-2</v>
      </c>
      <c r="C79">
        <f t="shared" si="26"/>
        <v>0.23385161983148312</v>
      </c>
      <c r="D79">
        <f t="shared" si="27"/>
        <v>0.1076937652883955</v>
      </c>
      <c r="E79">
        <f t="shared" si="18"/>
        <v>1.0577559862654837E-2</v>
      </c>
      <c r="F79">
        <f t="shared" si="19"/>
        <v>-1.3611526750532552E-2</v>
      </c>
      <c r="G79">
        <f t="shared" si="20"/>
        <v>3.7232179984421535E-2</v>
      </c>
      <c r="H79">
        <f t="shared" si="28"/>
        <v>9.5964655013208444E-3</v>
      </c>
      <c r="I79">
        <f t="shared" si="29"/>
        <v>-2.5605301748018741E-2</v>
      </c>
      <c r="J79">
        <f t="shared" si="21"/>
        <v>-2.4133660206017746E-2</v>
      </c>
      <c r="K79">
        <f t="shared" si="22"/>
        <v>2.5866339793982257E-2</v>
      </c>
      <c r="L79">
        <f t="shared" si="23"/>
        <v>-7.4133660206017749E-2</v>
      </c>
      <c r="M79">
        <f t="shared" si="30"/>
        <v>5.1838586200528336E-2</v>
      </c>
      <c r="N79">
        <f t="shared" si="33"/>
        <v>-7.4133660206017749E-2</v>
      </c>
      <c r="O79">
        <f t="shared" si="24"/>
        <v>0.23385161983148312</v>
      </c>
      <c r="P79">
        <f t="shared" si="31"/>
        <v>-7.6630699660174773E-2</v>
      </c>
      <c r="Q79">
        <f t="shared" si="32"/>
        <v>0.24477379003280331</v>
      </c>
    </row>
    <row r="80" spans="1:17" x14ac:dyDescent="0.45">
      <c r="A80">
        <v>0.36499999999999999</v>
      </c>
      <c r="B80">
        <f t="shared" si="25"/>
        <v>-7.1287514201843649E-2</v>
      </c>
      <c r="C80">
        <f t="shared" si="26"/>
        <v>0.23128751420184362</v>
      </c>
      <c r="D80">
        <f t="shared" si="27"/>
        <v>0.10701000378715832</v>
      </c>
      <c r="E80">
        <f t="shared" si="18"/>
        <v>1.1169171146272583E-2</v>
      </c>
      <c r="F80">
        <f t="shared" si="19"/>
        <v>-1.4710611896432399E-2</v>
      </c>
      <c r="G80">
        <f t="shared" si="20"/>
        <v>3.8360757372686551E-2</v>
      </c>
      <c r="H80">
        <f t="shared" si="28"/>
        <v>1.0051953472101888E-2</v>
      </c>
      <c r="I80">
        <f t="shared" si="29"/>
        <v>-2.4922069791847176E-2</v>
      </c>
      <c r="J80">
        <f t="shared" si="21"/>
        <v>-2.3246243280591106E-2</v>
      </c>
      <c r="K80">
        <f t="shared" si="22"/>
        <v>2.6753756719408897E-2</v>
      </c>
      <c r="L80">
        <f t="shared" si="23"/>
        <v>-7.3246243280591108E-2</v>
      </c>
      <c r="M80">
        <f t="shared" si="30"/>
        <v>5.202078138884076E-2</v>
      </c>
      <c r="N80">
        <f t="shared" si="33"/>
        <v>-7.3246243280591108E-2</v>
      </c>
      <c r="O80">
        <f t="shared" si="24"/>
        <v>0.23128751420184362</v>
      </c>
      <c r="P80">
        <f t="shared" si="31"/>
        <v>-7.6177015381829041E-2</v>
      </c>
      <c r="Q80">
        <f t="shared" si="32"/>
        <v>0.24194001506005175</v>
      </c>
    </row>
    <row r="81" spans="1:17" x14ac:dyDescent="0.45">
      <c r="A81">
        <v>0.37</v>
      </c>
      <c r="B81">
        <f t="shared" si="25"/>
        <v>-6.8786716565768624E-2</v>
      </c>
      <c r="C81">
        <f t="shared" si="26"/>
        <v>0.2287867165657686</v>
      </c>
      <c r="D81">
        <f t="shared" si="27"/>
        <v>0.10634312441753831</v>
      </c>
      <c r="E81">
        <f t="shared" si="18"/>
        <v>1.1822787287524547E-2</v>
      </c>
      <c r="F81">
        <f t="shared" si="19"/>
        <v>-1.5683328940525154E-2</v>
      </c>
      <c r="G81">
        <f t="shared" si="20"/>
        <v>3.9492253140671105E-2</v>
      </c>
      <c r="H81">
        <f t="shared" si="28"/>
        <v>1.0577559862654837E-2</v>
      </c>
      <c r="I81">
        <f t="shared" si="29"/>
        <v>-2.4133660206017746E-2</v>
      </c>
      <c r="J81">
        <f t="shared" si="21"/>
        <v>-2.2265819068713194E-2</v>
      </c>
      <c r="K81">
        <f t="shared" si="22"/>
        <v>2.7734180931286809E-2</v>
      </c>
      <c r="L81">
        <f t="shared" si="23"/>
        <v>-7.2265819068713197E-2</v>
      </c>
      <c r="M81">
        <f t="shared" si="30"/>
        <v>5.2231023945061933E-2</v>
      </c>
      <c r="N81">
        <f t="shared" si="33"/>
        <v>-7.2265819068713197E-2</v>
      </c>
      <c r="O81">
        <f t="shared" si="24"/>
        <v>0.2287867165657686</v>
      </c>
      <c r="P81">
        <f t="shared" si="31"/>
        <v>-7.5605301748018744E-2</v>
      </c>
      <c r="Q81">
        <f t="shared" si="32"/>
        <v>0.23917620624066926</v>
      </c>
    </row>
    <row r="82" spans="1:17" x14ac:dyDescent="0.45">
      <c r="A82">
        <v>0.375</v>
      </c>
      <c r="B82">
        <f t="shared" si="25"/>
        <v>-6.6347663843327617E-2</v>
      </c>
      <c r="C82">
        <f t="shared" si="26"/>
        <v>0.22634766384332761</v>
      </c>
      <c r="D82">
        <f t="shared" si="27"/>
        <v>0.1056927103582207</v>
      </c>
      <c r="E82">
        <f t="shared" si="18"/>
        <v>1.2534521487349196E-2</v>
      </c>
      <c r="F82">
        <f t="shared" si="19"/>
        <v>-1.6532715293250941E-2</v>
      </c>
      <c r="G82">
        <f t="shared" si="20"/>
        <v>4.0624254788854473E-2</v>
      </c>
      <c r="H82">
        <f t="shared" si="28"/>
        <v>1.1169171146272583E-2</v>
      </c>
      <c r="I82">
        <f t="shared" si="29"/>
        <v>-2.3246243280591106E-2</v>
      </c>
      <c r="J82">
        <f t="shared" si="21"/>
        <v>-2.1198217768976221E-2</v>
      </c>
      <c r="K82">
        <f t="shared" si="22"/>
        <v>2.8801782231023781E-2</v>
      </c>
      <c r="L82">
        <f t="shared" si="23"/>
        <v>-7.1198217768976224E-2</v>
      </c>
      <c r="M82">
        <f t="shared" si="30"/>
        <v>5.2467668458509031E-2</v>
      </c>
      <c r="N82">
        <f t="shared" si="33"/>
        <v>-7.1198217768976224E-2</v>
      </c>
      <c r="O82">
        <f t="shared" si="24"/>
        <v>0.22634766384332761</v>
      </c>
      <c r="P82">
        <f t="shared" si="31"/>
        <v>-7.4922069791847179E-2</v>
      </c>
      <c r="Q82">
        <f t="shared" si="32"/>
        <v>0.23648063610417425</v>
      </c>
    </row>
    <row r="83" spans="1:17" x14ac:dyDescent="0.45">
      <c r="A83">
        <v>0.38</v>
      </c>
      <c r="B83">
        <f t="shared" si="25"/>
        <v>-6.3968831547171229E-2</v>
      </c>
      <c r="C83">
        <f t="shared" si="26"/>
        <v>0.22396883154717123</v>
      </c>
      <c r="D83">
        <f t="shared" si="27"/>
        <v>0.10505835507924566</v>
      </c>
      <c r="E83">
        <f t="shared" si="18"/>
        <v>1.3300599791104289E-2</v>
      </c>
      <c r="F83">
        <f t="shared" si="19"/>
        <v>-1.7261832187451115E-2</v>
      </c>
      <c r="G83">
        <f t="shared" si="20"/>
        <v>4.1754516423934303E-2</v>
      </c>
      <c r="H83">
        <f t="shared" si="28"/>
        <v>1.1822787287524547E-2</v>
      </c>
      <c r="I83">
        <f t="shared" si="29"/>
        <v>-2.2265819068713194E-2</v>
      </c>
      <c r="J83">
        <f t="shared" si="21"/>
        <v>-2.004910031334356E-2</v>
      </c>
      <c r="K83">
        <f t="shared" si="22"/>
        <v>2.9950899686656443E-2</v>
      </c>
      <c r="L83">
        <f t="shared" si="23"/>
        <v>-7.0049100313343562E-2</v>
      </c>
      <c r="M83">
        <f t="shared" si="30"/>
        <v>5.2729114915009818E-2</v>
      </c>
      <c r="N83">
        <f t="shared" si="33"/>
        <v>-7.0049100313343562E-2</v>
      </c>
      <c r="O83">
        <f t="shared" si="24"/>
        <v>0.22396883154717123</v>
      </c>
      <c r="P83">
        <f t="shared" si="31"/>
        <v>-7.4133660206017749E-2</v>
      </c>
      <c r="Q83">
        <f t="shared" si="32"/>
        <v>0.23385161983148312</v>
      </c>
    </row>
    <row r="84" spans="1:17" x14ac:dyDescent="0.45">
      <c r="A84">
        <v>0.38500000000000001</v>
      </c>
      <c r="B84">
        <f t="shared" si="25"/>
        <v>-6.1648732829676783E-2</v>
      </c>
      <c r="C84">
        <f t="shared" si="26"/>
        <v>0.22164873282967679</v>
      </c>
      <c r="D84">
        <f t="shared" si="27"/>
        <v>0.10443966208791382</v>
      </c>
      <c r="E84">
        <f t="shared" si="18"/>
        <v>1.4117360566775608E-2</v>
      </c>
      <c r="F84">
        <f t="shared" si="19"/>
        <v>-1.7873760962445223E-2</v>
      </c>
      <c r="G84">
        <f t="shared" si="20"/>
        <v>4.2880951570974407E-2</v>
      </c>
      <c r="H84">
        <f t="shared" si="28"/>
        <v>1.2534521487349196E-2</v>
      </c>
      <c r="I84">
        <f t="shared" si="29"/>
        <v>-2.1198217768976221E-2</v>
      </c>
      <c r="J84">
        <f t="shared" si="21"/>
        <v>-1.8823959149836589E-2</v>
      </c>
      <c r="K84">
        <f t="shared" si="22"/>
        <v>3.1176040850163414E-2</v>
      </c>
      <c r="L84">
        <f t="shared" si="23"/>
        <v>-6.8823959149836592E-2</v>
      </c>
      <c r="M84">
        <f t="shared" si="30"/>
        <v>5.3013808594939676E-2</v>
      </c>
      <c r="N84">
        <f t="shared" si="33"/>
        <v>-6.8823959149836592E-2</v>
      </c>
      <c r="O84">
        <f t="shared" si="24"/>
        <v>0.22164873282967679</v>
      </c>
      <c r="P84">
        <f t="shared" si="31"/>
        <v>-7.3246243280591108E-2</v>
      </c>
      <c r="Q84">
        <f t="shared" si="32"/>
        <v>0.23128751420184362</v>
      </c>
    </row>
    <row r="85" spans="1:17" x14ac:dyDescent="0.45">
      <c r="A85">
        <v>0.39</v>
      </c>
      <c r="B85">
        <f t="shared" si="25"/>
        <v>-5.9385917553620229E-2</v>
      </c>
      <c r="C85">
        <f t="shared" si="26"/>
        <v>0.21938591755362025</v>
      </c>
      <c r="D85">
        <f t="shared" si="27"/>
        <v>0.1038362446809654</v>
      </c>
      <c r="E85">
        <f t="shared" si="18"/>
        <v>1.4981253860365806E-2</v>
      </c>
      <c r="F85">
        <f t="shared" si="19"/>
        <v>-1.8371599445655959E-2</v>
      </c>
      <c r="G85">
        <f t="shared" si="20"/>
        <v>4.400162617354899E-2</v>
      </c>
      <c r="H85">
        <f t="shared" si="28"/>
        <v>1.3300599791104289E-2</v>
      </c>
      <c r="I85">
        <f t="shared" si="29"/>
        <v>-2.004910031334356E-2</v>
      </c>
      <c r="J85">
        <f t="shared" si="21"/>
        <v>-1.7528119209451298E-2</v>
      </c>
      <c r="K85">
        <f t="shared" si="22"/>
        <v>3.2471880790548704E-2</v>
      </c>
      <c r="L85">
        <f t="shared" si="23"/>
        <v>-6.7528119209451301E-2</v>
      </c>
      <c r="M85">
        <f t="shared" si="30"/>
        <v>5.332023991644172E-2</v>
      </c>
      <c r="N85">
        <f t="shared" si="33"/>
        <v>-6.7528119209451301E-2</v>
      </c>
      <c r="O85">
        <f t="shared" si="24"/>
        <v>0.21938591755362025</v>
      </c>
      <c r="P85">
        <f t="shared" si="31"/>
        <v>-7.2265819068713197E-2</v>
      </c>
      <c r="Q85">
        <f t="shared" si="32"/>
        <v>0.2287867165657686</v>
      </c>
    </row>
    <row r="86" spans="1:17" x14ac:dyDescent="0.45">
      <c r="A86">
        <v>0.39500000000000002</v>
      </c>
      <c r="B86">
        <f t="shared" si="25"/>
        <v>-5.7178971385793129E-2</v>
      </c>
      <c r="C86">
        <f t="shared" si="26"/>
        <v>0.21717897138579312</v>
      </c>
      <c r="D86">
        <f t="shared" si="27"/>
        <v>0.10324772570287817</v>
      </c>
      <c r="E86">
        <f t="shared" si="18"/>
        <v>1.5888840635303977E-2</v>
      </c>
      <c r="F86">
        <f t="shared" si="19"/>
        <v>-1.8758458432216074E-2</v>
      </c>
      <c r="G86">
        <f t="shared" si="20"/>
        <v>4.5114751782493766E-2</v>
      </c>
      <c r="H86">
        <f t="shared" si="28"/>
        <v>1.4117360566775608E-2</v>
      </c>
      <c r="I86">
        <f t="shared" si="29"/>
        <v>-1.8823959149836589E-2</v>
      </c>
      <c r="J86">
        <f t="shared" si="21"/>
        <v>-1.6166739047044035E-2</v>
      </c>
      <c r="K86">
        <f t="shared" si="22"/>
        <v>3.3833260952955968E-2</v>
      </c>
      <c r="L86">
        <f t="shared" si="23"/>
        <v>-6.6166739047044038E-2</v>
      </c>
      <c r="M86">
        <f t="shared" si="30"/>
        <v>5.3646944226710243E-2</v>
      </c>
      <c r="N86">
        <f t="shared" si="33"/>
        <v>-6.6166739047044038E-2</v>
      </c>
      <c r="O86">
        <f t="shared" si="24"/>
        <v>0.21717897138579312</v>
      </c>
      <c r="P86">
        <f t="shared" si="31"/>
        <v>-7.1198217768976224E-2</v>
      </c>
      <c r="Q86">
        <f t="shared" si="32"/>
        <v>0.22634766384332761</v>
      </c>
    </row>
    <row r="87" spans="1:17" x14ac:dyDescent="0.45">
      <c r="A87">
        <v>0.4</v>
      </c>
      <c r="B87">
        <f t="shared" si="25"/>
        <v>-5.5026514912998412E-2</v>
      </c>
      <c r="C87">
        <f t="shared" si="26"/>
        <v>0.2150265149129984</v>
      </c>
      <c r="D87">
        <f t="shared" si="27"/>
        <v>0.10267373731013292</v>
      </c>
      <c r="E87">
        <f t="shared" si="18"/>
        <v>1.6836791902536688E-2</v>
      </c>
      <c r="F87">
        <f t="shared" si="19"/>
        <v>-1.9037458262881155E-2</v>
      </c>
      <c r="G87">
        <f t="shared" si="20"/>
        <v>4.621867893346384E-2</v>
      </c>
      <c r="H87">
        <f t="shared" si="28"/>
        <v>1.4981253860365806E-2</v>
      </c>
      <c r="I87">
        <f t="shared" si="29"/>
        <v>-1.7528119209451298E-2</v>
      </c>
      <c r="J87">
        <f t="shared" si="21"/>
        <v>-1.4744812146194969E-2</v>
      </c>
      <c r="K87">
        <f t="shared" si="22"/>
        <v>3.5255187853805034E-2</v>
      </c>
      <c r="L87">
        <f t="shared" si="23"/>
        <v>-6.4744812146194972E-2</v>
      </c>
      <c r="M87">
        <f t="shared" si="30"/>
        <v>5.3992501544146324E-2</v>
      </c>
      <c r="N87">
        <f t="shared" si="33"/>
        <v>-6.4744812146194972E-2</v>
      </c>
      <c r="O87">
        <f t="shared" si="24"/>
        <v>0.2150265149129984</v>
      </c>
      <c r="P87">
        <f t="shared" si="31"/>
        <v>-7.0049100313343562E-2</v>
      </c>
      <c r="Q87">
        <f t="shared" si="32"/>
        <v>0.22396883154717123</v>
      </c>
    </row>
    <row r="88" spans="1:17" x14ac:dyDescent="0.45">
      <c r="A88">
        <v>0.40500000000000003</v>
      </c>
      <c r="B88">
        <f t="shared" si="25"/>
        <v>-5.2927202779872215E-2</v>
      </c>
      <c r="C88">
        <f t="shared" si="26"/>
        <v>0.2129272027798722</v>
      </c>
      <c r="D88">
        <f t="shared" si="27"/>
        <v>0.10211392074129927</v>
      </c>
      <c r="E88">
        <f t="shared" si="18"/>
        <v>1.7821887747779541E-2</v>
      </c>
      <c r="F88">
        <f t="shared" si="19"/>
        <v>-1.9211725500468416E-2</v>
      </c>
      <c r="G88">
        <f t="shared" si="20"/>
        <v>4.7311890713115354E-2</v>
      </c>
      <c r="H88">
        <f t="shared" si="28"/>
        <v>1.5888840635303977E-2</v>
      </c>
      <c r="I88">
        <f t="shared" si="29"/>
        <v>-1.6166739047044035E-2</v>
      </c>
      <c r="J88">
        <f t="shared" si="21"/>
        <v>-1.3267168378330682E-2</v>
      </c>
      <c r="K88">
        <f t="shared" si="22"/>
        <v>3.6732831621669321E-2</v>
      </c>
      <c r="L88">
        <f t="shared" si="23"/>
        <v>-6.3267168378330685E-2</v>
      </c>
      <c r="M88">
        <f t="shared" si="30"/>
        <v>5.4355536254121595E-2</v>
      </c>
      <c r="N88">
        <f t="shared" si="33"/>
        <v>-6.3267168378330685E-2</v>
      </c>
      <c r="O88">
        <f t="shared" si="24"/>
        <v>0.2129272027798722</v>
      </c>
      <c r="P88">
        <f t="shared" si="31"/>
        <v>-6.8823959149836592E-2</v>
      </c>
      <c r="Q88">
        <f t="shared" si="32"/>
        <v>0.22164873282967679</v>
      </c>
    </row>
    <row r="89" spans="1:17" x14ac:dyDescent="0.45">
      <c r="A89">
        <v>0.41</v>
      </c>
      <c r="B89">
        <f t="shared" si="25"/>
        <v>-5.0879722847992886E-2</v>
      </c>
      <c r="C89">
        <f t="shared" si="26"/>
        <v>0.21087972284799289</v>
      </c>
      <c r="D89">
        <f t="shared" si="27"/>
        <v>0.10156792609279811</v>
      </c>
      <c r="E89">
        <f t="shared" si="18"/>
        <v>1.884101626222974E-2</v>
      </c>
      <c r="F89">
        <f t="shared" si="19"/>
        <v>-1.928438970493751E-2</v>
      </c>
      <c r="G89">
        <f t="shared" si="20"/>
        <v>4.8392996513372248E-2</v>
      </c>
      <c r="H89">
        <f t="shared" si="28"/>
        <v>1.6836791902536688E-2</v>
      </c>
      <c r="I89">
        <f t="shared" si="29"/>
        <v>-1.4744812146194969E-2</v>
      </c>
      <c r="J89">
        <f t="shared" si="21"/>
        <v>-1.1738475606655377E-2</v>
      </c>
      <c r="K89">
        <f t="shared" si="22"/>
        <v>3.8261524393344626E-2</v>
      </c>
      <c r="L89">
        <f t="shared" si="23"/>
        <v>-6.173847560665538E-2</v>
      </c>
      <c r="M89">
        <f t="shared" si="30"/>
        <v>5.4734716761014678E-2</v>
      </c>
      <c r="N89">
        <f t="shared" si="33"/>
        <v>-6.173847560665538E-2</v>
      </c>
      <c r="O89">
        <f t="shared" si="24"/>
        <v>0.21087972284799289</v>
      </c>
      <c r="P89">
        <f t="shared" si="31"/>
        <v>-6.7528119209451301E-2</v>
      </c>
      <c r="Q89">
        <f t="shared" si="32"/>
        <v>0.21938591755362025</v>
      </c>
    </row>
    <row r="90" spans="1:17" x14ac:dyDescent="0.45">
      <c r="A90">
        <v>0.41499999999999998</v>
      </c>
      <c r="B90">
        <f t="shared" si="25"/>
        <v>-4.8882795375751839E-2</v>
      </c>
      <c r="C90">
        <f t="shared" si="26"/>
        <v>0.20888279537575183</v>
      </c>
      <c r="D90">
        <f t="shared" si="27"/>
        <v>0.10103541210020049</v>
      </c>
      <c r="E90">
        <f t="shared" si="18"/>
        <v>1.9891172382858972E-2</v>
      </c>
      <c r="F90">
        <f t="shared" si="19"/>
        <v>-1.9258580307131914E-2</v>
      </c>
      <c r="G90">
        <f t="shared" si="20"/>
        <v>4.9460725972910013E-2</v>
      </c>
      <c r="H90">
        <f t="shared" si="28"/>
        <v>1.7821887747779541E-2</v>
      </c>
      <c r="I90">
        <f t="shared" si="29"/>
        <v>-1.3267168378330682E-2</v>
      </c>
      <c r="J90">
        <f t="shared" si="21"/>
        <v>-1.0163241425711539E-2</v>
      </c>
      <c r="K90">
        <f t="shared" si="22"/>
        <v>3.9836758574288464E-2</v>
      </c>
      <c r="L90">
        <f t="shared" si="23"/>
        <v>-6.0163241425711542E-2</v>
      </c>
      <c r="M90">
        <f t="shared" si="30"/>
        <v>5.5128755099111817E-2</v>
      </c>
      <c r="N90">
        <f t="shared" si="33"/>
        <v>-6.0163241425711542E-2</v>
      </c>
      <c r="O90">
        <f t="shared" si="24"/>
        <v>0.20888279537575183</v>
      </c>
      <c r="P90">
        <f t="shared" si="31"/>
        <v>-6.6166739047044038E-2</v>
      </c>
      <c r="Q90">
        <f t="shared" si="32"/>
        <v>0.21717897138579312</v>
      </c>
    </row>
    <row r="91" spans="1:17" x14ac:dyDescent="0.45">
      <c r="A91">
        <v>0.42</v>
      </c>
      <c r="B91">
        <f t="shared" si="25"/>
        <v>-4.6935172218473528E-2</v>
      </c>
      <c r="C91">
        <f t="shared" si="26"/>
        <v>0.20693517221847352</v>
      </c>
      <c r="D91">
        <f t="shared" si="27"/>
        <v>0.10051604592492627</v>
      </c>
      <c r="E91">
        <f t="shared" si="18"/>
        <v>2.0969456648227115E-2</v>
      </c>
      <c r="F91">
        <f t="shared" si="19"/>
        <v>-1.9137423581101709E-2</v>
      </c>
      <c r="G91">
        <f t="shared" si="20"/>
        <v>5.0513923104682182E-2</v>
      </c>
      <c r="H91">
        <f t="shared" si="28"/>
        <v>1.884101626222974E-2</v>
      </c>
      <c r="I91">
        <f t="shared" si="29"/>
        <v>-1.1738475606655377E-2</v>
      </c>
      <c r="J91">
        <f t="shared" si="21"/>
        <v>-8.5458150276593176E-3</v>
      </c>
      <c r="K91">
        <f t="shared" si="22"/>
        <v>4.1454184972340685E-2</v>
      </c>
      <c r="L91">
        <f t="shared" si="23"/>
        <v>-5.854581502765932E-2</v>
      </c>
      <c r="M91">
        <f t="shared" si="30"/>
        <v>5.5536406504891903E-2</v>
      </c>
      <c r="N91">
        <f t="shared" si="33"/>
        <v>-5.854581502765932E-2</v>
      </c>
      <c r="O91">
        <f t="shared" si="24"/>
        <v>0.20693517221847352</v>
      </c>
      <c r="P91">
        <f t="shared" si="31"/>
        <v>-6.4744812146194972E-2</v>
      </c>
      <c r="Q91">
        <f t="shared" si="32"/>
        <v>0.2150265149129984</v>
      </c>
    </row>
    <row r="92" spans="1:17" x14ac:dyDescent="0.45">
      <c r="A92">
        <v>0.42499999999999999</v>
      </c>
      <c r="B92">
        <f t="shared" si="25"/>
        <v>-4.5035636048284061E-2</v>
      </c>
      <c r="C92">
        <f t="shared" si="26"/>
        <v>0.20503563604828406</v>
      </c>
      <c r="D92">
        <f t="shared" si="27"/>
        <v>0.10000950294620908</v>
      </c>
      <c r="E92">
        <f t="shared" si="18"/>
        <v>2.2073073875579483E-2</v>
      </c>
      <c r="F92">
        <f t="shared" si="19"/>
        <v>-1.8924039714836402E-2</v>
      </c>
      <c r="G92">
        <f t="shared" si="20"/>
        <v>5.1551540608034435E-2</v>
      </c>
      <c r="H92">
        <f t="shared" si="28"/>
        <v>1.9891172382858972E-2</v>
      </c>
      <c r="I92">
        <f t="shared" si="29"/>
        <v>-1.0163241425711539E-2</v>
      </c>
      <c r="J92">
        <f t="shared" si="21"/>
        <v>-6.8903891866307909E-3</v>
      </c>
      <c r="K92">
        <f t="shared" si="22"/>
        <v>4.3109610813369212E-2</v>
      </c>
      <c r="L92">
        <f t="shared" si="23"/>
        <v>-5.6890389186630794E-2</v>
      </c>
      <c r="M92">
        <f t="shared" si="30"/>
        <v>5.5956468953143587E-2</v>
      </c>
      <c r="N92">
        <f t="shared" si="33"/>
        <v>-5.6890389186630794E-2</v>
      </c>
      <c r="O92">
        <f t="shared" si="24"/>
        <v>0.20503563604828406</v>
      </c>
      <c r="P92">
        <f t="shared" si="31"/>
        <v>-6.3267168378330685E-2</v>
      </c>
      <c r="Q92">
        <f t="shared" si="32"/>
        <v>0.2129272027798722</v>
      </c>
    </row>
    <row r="93" spans="1:17" x14ac:dyDescent="0.45">
      <c r="A93">
        <v>0.43</v>
      </c>
      <c r="B93">
        <f t="shared" si="25"/>
        <v>-4.3182999593241886E-2</v>
      </c>
      <c r="C93">
        <f t="shared" si="26"/>
        <v>0.20318299959324188</v>
      </c>
      <c r="D93">
        <f t="shared" si="27"/>
        <v>9.9515466558197846E-2</v>
      </c>
      <c r="E93">
        <f t="shared" si="18"/>
        <v>2.3199331764812973E-2</v>
      </c>
      <c r="F93">
        <f t="shared" si="19"/>
        <v>-1.8621539979146923E-2</v>
      </c>
      <c r="G93">
        <f t="shared" si="20"/>
        <v>5.2572634363691209E-2</v>
      </c>
      <c r="H93">
        <f t="shared" si="28"/>
        <v>2.0969456648227115E-2</v>
      </c>
      <c r="I93">
        <f t="shared" si="29"/>
        <v>-8.5458150276593176E-3</v>
      </c>
      <c r="J93">
        <f t="shared" si="21"/>
        <v>-5.201002352780551E-3</v>
      </c>
      <c r="K93">
        <f t="shared" si="22"/>
        <v>4.4798997647219452E-2</v>
      </c>
      <c r="L93">
        <f t="shared" si="23"/>
        <v>-5.5201002352780554E-2</v>
      </c>
      <c r="M93">
        <f t="shared" si="30"/>
        <v>5.6387782659290842E-2</v>
      </c>
      <c r="N93">
        <f t="shared" si="33"/>
        <v>-5.5201002352780554E-2</v>
      </c>
      <c r="O93">
        <f t="shared" si="24"/>
        <v>0.20318299959324188</v>
      </c>
      <c r="P93">
        <f t="shared" si="31"/>
        <v>-6.173847560665538E-2</v>
      </c>
      <c r="Q93">
        <f t="shared" si="32"/>
        <v>0.21087972284799289</v>
      </c>
    </row>
    <row r="94" spans="1:17" x14ac:dyDescent="0.45">
      <c r="A94">
        <v>0.435</v>
      </c>
      <c r="B94">
        <f t="shared" si="25"/>
        <v>-4.1376104895254256E-2</v>
      </c>
      <c r="C94">
        <f t="shared" si="26"/>
        <v>0.20137610489525426</v>
      </c>
      <c r="D94">
        <f t="shared" si="27"/>
        <v>9.90336279720678E-2</v>
      </c>
      <c r="E94">
        <f t="shared" si="18"/>
        <v>2.4345639434720186E-2</v>
      </c>
      <c r="F94">
        <f t="shared" si="19"/>
        <v>-1.8233023994347439E-2</v>
      </c>
      <c r="G94">
        <f t="shared" si="20"/>
        <v>5.3576358109661819E-2</v>
      </c>
      <c r="H94">
        <f t="shared" si="28"/>
        <v>2.2073073875579483E-2</v>
      </c>
      <c r="I94">
        <f t="shared" si="29"/>
        <v>-6.8903891866307909E-3</v>
      </c>
      <c r="J94">
        <f t="shared" si="21"/>
        <v>-3.4815408479197119E-3</v>
      </c>
      <c r="K94">
        <f t="shared" si="22"/>
        <v>4.6518459152080291E-2</v>
      </c>
      <c r="L94">
        <f t="shared" si="23"/>
        <v>-5.3481540847919715E-2</v>
      </c>
      <c r="M94">
        <f t="shared" si="30"/>
        <v>5.6829229550231793E-2</v>
      </c>
      <c r="N94">
        <f t="shared" si="33"/>
        <v>-5.3481540847919715E-2</v>
      </c>
      <c r="O94">
        <f t="shared" si="24"/>
        <v>0.20137610489525426</v>
      </c>
      <c r="P94">
        <f t="shared" si="31"/>
        <v>-6.0163241425711542E-2</v>
      </c>
      <c r="Q94">
        <f t="shared" si="32"/>
        <v>0.20888279537575183</v>
      </c>
    </row>
    <row r="95" spans="1:17" x14ac:dyDescent="0.45">
      <c r="A95">
        <v>0.44</v>
      </c>
      <c r="B95">
        <f t="shared" si="25"/>
        <v>-3.9613822586315475E-2</v>
      </c>
      <c r="C95">
        <f t="shared" si="26"/>
        <v>0.19961382258631549</v>
      </c>
      <c r="D95">
        <f t="shared" si="27"/>
        <v>9.8563686023017461E-2</v>
      </c>
      <c r="E95">
        <f t="shared" si="18"/>
        <v>2.5509505896747046E-2</v>
      </c>
      <c r="F95">
        <f t="shared" si="19"/>
        <v>-1.7761577094306175E-2</v>
      </c>
      <c r="G95">
        <f t="shared" si="20"/>
        <v>5.4561958295895628E-2</v>
      </c>
      <c r="H95">
        <f t="shared" si="28"/>
        <v>2.3199331764812973E-2</v>
      </c>
      <c r="I95">
        <f t="shared" si="29"/>
        <v>-5.201002352780551E-3</v>
      </c>
      <c r="J95">
        <f t="shared" si="21"/>
        <v>-1.7357411548794138E-3</v>
      </c>
      <c r="K95">
        <f t="shared" si="22"/>
        <v>4.8264258845120589E-2</v>
      </c>
      <c r="L95">
        <f t="shared" si="23"/>
        <v>-5.1735741154879417E-2</v>
      </c>
      <c r="M95">
        <f t="shared" si="30"/>
        <v>5.7279732705925186E-2</v>
      </c>
      <c r="N95">
        <f t="shared" si="33"/>
        <v>-5.1735741154879417E-2</v>
      </c>
      <c r="O95">
        <f t="shared" si="24"/>
        <v>0.19961382258631549</v>
      </c>
      <c r="P95">
        <f t="shared" si="31"/>
        <v>-5.854581502765932E-2</v>
      </c>
      <c r="Q95">
        <f t="shared" si="32"/>
        <v>0.20693517221847352</v>
      </c>
    </row>
    <row r="96" spans="1:17" x14ac:dyDescent="0.45">
      <c r="A96">
        <v>0.44500000000000001</v>
      </c>
      <c r="B96">
        <f t="shared" si="25"/>
        <v>-3.7895051182615311E-2</v>
      </c>
      <c r="C96">
        <f t="shared" si="26"/>
        <v>0.1978950511826153</v>
      </c>
      <c r="D96">
        <f t="shared" si="27"/>
        <v>9.8105346982030758E-2</v>
      </c>
      <c r="E96">
        <f t="shared" si="18"/>
        <v>2.6688538471325463E-2</v>
      </c>
      <c r="F96">
        <f t="shared" si="19"/>
        <v>-1.7210267787350936E-2</v>
      </c>
      <c r="G96">
        <f t="shared" si="20"/>
        <v>5.5528769115317261E-2</v>
      </c>
      <c r="H96">
        <f t="shared" si="28"/>
        <v>2.4345639434720186E-2</v>
      </c>
      <c r="I96">
        <f t="shared" si="29"/>
        <v>-3.4815408479197119E-3</v>
      </c>
      <c r="J96">
        <f t="shared" si="21"/>
        <v>3.2807706988199903E-5</v>
      </c>
      <c r="K96">
        <f t="shared" si="22"/>
        <v>5.0032807706988203E-2</v>
      </c>
      <c r="L96">
        <f t="shared" si="23"/>
        <v>-4.9967192293011803E-2</v>
      </c>
      <c r="M96">
        <f t="shared" si="30"/>
        <v>5.7738255773888074E-2</v>
      </c>
      <c r="N96">
        <f t="shared" si="33"/>
        <v>-4.9967192293011803E-2</v>
      </c>
      <c r="O96">
        <f t="shared" si="24"/>
        <v>0.1978950511826153</v>
      </c>
      <c r="P96">
        <f t="shared" si="31"/>
        <v>-5.6890389186630794E-2</v>
      </c>
      <c r="Q96">
        <f t="shared" si="32"/>
        <v>0.20503563604828406</v>
      </c>
    </row>
    <row r="97" spans="1:17" x14ac:dyDescent="0.45">
      <c r="A97">
        <v>0.45</v>
      </c>
      <c r="B97">
        <f t="shared" si="25"/>
        <v>-3.6218716396075656E-2</v>
      </c>
      <c r="C97">
        <f t="shared" si="26"/>
        <v>0.19621871639607563</v>
      </c>
      <c r="D97">
        <f t="shared" si="27"/>
        <v>9.7658324372286845E-2</v>
      </c>
      <c r="E97">
        <f t="shared" si="18"/>
        <v>2.7880441151672875E-2</v>
      </c>
      <c r="F97">
        <f t="shared" si="19"/>
        <v>-1.6582145313440697E-2</v>
      </c>
      <c r="G97">
        <f t="shared" si="20"/>
        <v>5.6476207708693174E-2</v>
      </c>
      <c r="H97">
        <f t="shared" si="28"/>
        <v>2.5509505896747046E-2</v>
      </c>
      <c r="I97">
        <f t="shared" si="29"/>
        <v>-1.7357411548794138E-3</v>
      </c>
      <c r="J97">
        <f t="shared" si="21"/>
        <v>1.820661727509304E-3</v>
      </c>
      <c r="K97">
        <f t="shared" si="22"/>
        <v>5.1820661727509307E-2</v>
      </c>
      <c r="L97">
        <f t="shared" si="23"/>
        <v>-4.8179338272490699E-2</v>
      </c>
      <c r="M97">
        <f t="shared" si="30"/>
        <v>5.820380235869882E-2</v>
      </c>
      <c r="N97">
        <f t="shared" si="33"/>
        <v>-4.8179338272490699E-2</v>
      </c>
      <c r="O97">
        <f t="shared" si="24"/>
        <v>0.19621871639607563</v>
      </c>
      <c r="P97">
        <f t="shared" si="31"/>
        <v>-5.5201002352780554E-2</v>
      </c>
      <c r="Q97">
        <f t="shared" si="32"/>
        <v>0.20318299959324188</v>
      </c>
    </row>
    <row r="98" spans="1:17" x14ac:dyDescent="0.45">
      <c r="A98">
        <v>0.45500000000000002</v>
      </c>
      <c r="B98">
        <f t="shared" si="25"/>
        <v>-3.458377046288566E-2</v>
      </c>
      <c r="C98">
        <f t="shared" si="26"/>
        <v>0.19458377046288566</v>
      </c>
      <c r="D98">
        <f t="shared" si="27"/>
        <v>9.722233879010285E-2</v>
      </c>
      <c r="E98">
        <f t="shared" si="18"/>
        <v>2.9083012919780014E-2</v>
      </c>
      <c r="F98">
        <f t="shared" si="19"/>
        <v>-1.5880237296936217E-2</v>
      </c>
      <c r="G98">
        <f t="shared" si="20"/>
        <v>5.7403769540618196E-2</v>
      </c>
      <c r="H98">
        <f t="shared" si="28"/>
        <v>2.6688538471325463E-2</v>
      </c>
      <c r="I98">
        <f t="shared" si="29"/>
        <v>3.2807706988199903E-5</v>
      </c>
      <c r="J98">
        <f t="shared" si="21"/>
        <v>3.6245193796700104E-3</v>
      </c>
      <c r="K98">
        <f t="shared" si="22"/>
        <v>5.3624519379670013E-2</v>
      </c>
      <c r="L98">
        <f t="shared" si="23"/>
        <v>-4.6375480620329992E-2</v>
      </c>
      <c r="M98">
        <f t="shared" si="30"/>
        <v>5.8675415388530189E-2</v>
      </c>
      <c r="N98">
        <f t="shared" si="33"/>
        <v>-4.6375480620329992E-2</v>
      </c>
      <c r="O98">
        <f t="shared" si="24"/>
        <v>0.19458377046288566</v>
      </c>
      <c r="P98">
        <f t="shared" si="31"/>
        <v>-5.3481540847919715E-2</v>
      </c>
      <c r="Q98">
        <f t="shared" si="32"/>
        <v>0.20137610489525426</v>
      </c>
    </row>
    <row r="99" spans="1:17" x14ac:dyDescent="0.45">
      <c r="A99">
        <v>0.46</v>
      </c>
      <c r="B99">
        <f t="shared" si="25"/>
        <v>-3.2989191488615052E-2</v>
      </c>
      <c r="C99">
        <f t="shared" si="26"/>
        <v>0.19298919148861504</v>
      </c>
      <c r="D99">
        <f t="shared" si="27"/>
        <v>9.6797117730297352E-2</v>
      </c>
      <c r="E99">
        <f t="shared" si="18"/>
        <v>3.0294146019141967E-2</v>
      </c>
      <c r="F99">
        <f t="shared" si="19"/>
        <v>-1.5107547494234264E-2</v>
      </c>
      <c r="G99">
        <f t="shared" si="20"/>
        <v>5.8311023943765222E-2</v>
      </c>
      <c r="H99">
        <f t="shared" si="28"/>
        <v>2.7880441151672875E-2</v>
      </c>
      <c r="I99">
        <f t="shared" si="29"/>
        <v>1.820661727509304E-3</v>
      </c>
      <c r="J99">
        <f t="shared" si="21"/>
        <v>5.4412190287129458E-3</v>
      </c>
      <c r="K99">
        <f t="shared" si="22"/>
        <v>5.5441219028712949E-2</v>
      </c>
      <c r="L99">
        <f t="shared" si="23"/>
        <v>-4.4558780971287057E-2</v>
      </c>
      <c r="M99">
        <f t="shared" si="30"/>
        <v>5.9152176460669142E-2</v>
      </c>
      <c r="N99">
        <f t="shared" si="33"/>
        <v>-4.4558780971287057E-2</v>
      </c>
      <c r="O99">
        <f t="shared" si="24"/>
        <v>0.19298919148861504</v>
      </c>
      <c r="P99">
        <f t="shared" si="31"/>
        <v>-5.1735741154879417E-2</v>
      </c>
      <c r="Q99">
        <f t="shared" si="32"/>
        <v>0.19961382258631549</v>
      </c>
    </row>
    <row r="100" spans="1:17" x14ac:dyDescent="0.45">
      <c r="A100">
        <v>0.46500000000000002</v>
      </c>
      <c r="B100">
        <f t="shared" si="25"/>
        <v>-3.1433982809496955E-2</v>
      </c>
      <c r="C100">
        <f t="shared" si="26"/>
        <v>0.19143398280949697</v>
      </c>
      <c r="D100">
        <f t="shared" si="27"/>
        <v>9.6382395415865851E-2</v>
      </c>
      <c r="E100">
        <f t="shared" si="18"/>
        <v>3.1511824188621737E-2</v>
      </c>
      <c r="F100">
        <f t="shared" si="19"/>
        <v>-1.4267053635459478E-2</v>
      </c>
      <c r="G100">
        <f t="shared" si="20"/>
        <v>5.9197609828410637E-2</v>
      </c>
      <c r="H100">
        <f t="shared" si="28"/>
        <v>2.9083012919780014E-2</v>
      </c>
      <c r="I100">
        <f t="shared" si="29"/>
        <v>3.6245193796700104E-3</v>
      </c>
      <c r="J100">
        <f t="shared" si="21"/>
        <v>7.2677362829326048E-3</v>
      </c>
      <c r="K100">
        <f t="shared" si="22"/>
        <v>5.7267736282932608E-2</v>
      </c>
      <c r="L100">
        <f t="shared" si="23"/>
        <v>-4.2732263717067398E-2</v>
      </c>
      <c r="M100">
        <f t="shared" si="30"/>
        <v>5.9633205167912005E-2</v>
      </c>
      <c r="N100">
        <f t="shared" si="33"/>
        <v>-4.2732263717067398E-2</v>
      </c>
      <c r="O100">
        <f t="shared" si="24"/>
        <v>0.19143398280949697</v>
      </c>
      <c r="P100">
        <f t="shared" si="31"/>
        <v>-4.9967192293011803E-2</v>
      </c>
      <c r="Q100">
        <f t="shared" si="32"/>
        <v>0.1978950511826153</v>
      </c>
    </row>
    <row r="101" spans="1:17" x14ac:dyDescent="0.45">
      <c r="A101">
        <v>0.47</v>
      </c>
      <c r="B101">
        <f t="shared" si="25"/>
        <v>-2.9917172369480556E-2</v>
      </c>
      <c r="C101">
        <f t="shared" si="26"/>
        <v>0.18991717236948058</v>
      </c>
      <c r="D101">
        <f t="shared" si="27"/>
        <v>9.5977912631861478E-2</v>
      </c>
      <c r="E101">
        <f t="shared" si="18"/>
        <v>3.273412086167405E-2</v>
      </c>
      <c r="F101">
        <f t="shared" si="19"/>
        <v>-1.3361705359342224E-2</v>
      </c>
      <c r="G101">
        <f t="shared" si="20"/>
        <v>6.006323155413313E-2</v>
      </c>
      <c r="H101">
        <f t="shared" si="28"/>
        <v>3.0294146019141967E-2</v>
      </c>
      <c r="I101">
        <f t="shared" si="29"/>
        <v>5.4412190287129458E-3</v>
      </c>
      <c r="J101">
        <f t="shared" si="21"/>
        <v>9.1011812925110708E-3</v>
      </c>
      <c r="K101">
        <f t="shared" si="22"/>
        <v>5.9101181292511074E-2</v>
      </c>
      <c r="L101">
        <f t="shared" si="23"/>
        <v>-4.0898818707488932E-2</v>
      </c>
      <c r="M101">
        <f t="shared" si="30"/>
        <v>6.0117658407656788E-2</v>
      </c>
      <c r="N101">
        <f t="shared" si="33"/>
        <v>-4.0898818707488932E-2</v>
      </c>
      <c r="O101">
        <f t="shared" si="24"/>
        <v>0.18991717236948058</v>
      </c>
      <c r="P101">
        <f t="shared" si="31"/>
        <v>-4.8179338272490699E-2</v>
      </c>
      <c r="Q101">
        <f t="shared" si="32"/>
        <v>0.19621871639607563</v>
      </c>
    </row>
    <row r="102" spans="1:17" x14ac:dyDescent="0.45">
      <c r="A102">
        <v>0.47499999999999998</v>
      </c>
      <c r="B102">
        <f t="shared" si="25"/>
        <v>-2.843781211266453E-2</v>
      </c>
      <c r="C102">
        <f t="shared" si="26"/>
        <v>0.18843781211266453</v>
      </c>
      <c r="D102">
        <f t="shared" si="27"/>
        <v>9.558341656337721E-2</v>
      </c>
      <c r="E102">
        <f t="shared" si="18"/>
        <v>3.3959197334995091E-2</v>
      </c>
      <c r="F102">
        <f t="shared" si="19"/>
        <v>-1.2394422240348979E-2</v>
      </c>
      <c r="G102">
        <f t="shared" si="20"/>
        <v>6.090765496048231E-2</v>
      </c>
      <c r="H102">
        <f t="shared" si="28"/>
        <v>3.1511824188621737E-2</v>
      </c>
      <c r="I102">
        <f t="shared" si="29"/>
        <v>7.2677362829326048E-3</v>
      </c>
      <c r="J102">
        <f t="shared" si="21"/>
        <v>1.0938796002492632E-2</v>
      </c>
      <c r="K102">
        <f t="shared" si="22"/>
        <v>6.0938796002492635E-2</v>
      </c>
      <c r="L102">
        <f t="shared" si="23"/>
        <v>-3.9061203997507371E-2</v>
      </c>
      <c r="M102">
        <f t="shared" si="30"/>
        <v>6.0604729675448693E-2</v>
      </c>
      <c r="N102">
        <f t="shared" si="33"/>
        <v>-3.9061203997507371E-2</v>
      </c>
      <c r="O102">
        <f t="shared" si="24"/>
        <v>0.18843781211266453</v>
      </c>
      <c r="P102">
        <f t="shared" si="31"/>
        <v>-4.6375480620329992E-2</v>
      </c>
      <c r="Q102">
        <f t="shared" si="32"/>
        <v>0.19458377046288566</v>
      </c>
    </row>
    <row r="103" spans="1:17" x14ac:dyDescent="0.45">
      <c r="A103">
        <v>0.48</v>
      </c>
      <c r="B103">
        <f t="shared" si="25"/>
        <v>-2.6994977390731111E-2</v>
      </c>
      <c r="C103">
        <f t="shared" si="26"/>
        <v>0.18699497739073112</v>
      </c>
      <c r="D103">
        <f t="shared" si="27"/>
        <v>9.5198660637528298E-2</v>
      </c>
      <c r="E103">
        <f t="shared" si="18"/>
        <v>3.5185300910506867E-2</v>
      </c>
      <c r="F103">
        <f t="shared" si="19"/>
        <v>-1.1368091907071012E-2</v>
      </c>
      <c r="G103">
        <f t="shared" si="20"/>
        <v>6.1730703553325328E-2</v>
      </c>
      <c r="H103">
        <f t="shared" si="28"/>
        <v>3.273412086167405E-2</v>
      </c>
      <c r="I103">
        <f t="shared" si="29"/>
        <v>9.1011812925110708E-3</v>
      </c>
      <c r="J103">
        <f t="shared" si="21"/>
        <v>1.2777951365760307E-2</v>
      </c>
      <c r="K103">
        <f t="shared" si="22"/>
        <v>6.2777951365760309E-2</v>
      </c>
      <c r="L103">
        <f t="shared" si="23"/>
        <v>-3.7222048634239696E-2</v>
      </c>
      <c r="M103">
        <f t="shared" si="30"/>
        <v>6.109364834466962E-2</v>
      </c>
      <c r="N103">
        <f t="shared" si="33"/>
        <v>-3.7222048634239696E-2</v>
      </c>
      <c r="O103">
        <f t="shared" si="24"/>
        <v>0.18699497739073112</v>
      </c>
      <c r="P103">
        <f t="shared" si="31"/>
        <v>-4.4558780971287057E-2</v>
      </c>
      <c r="Q103">
        <f t="shared" si="32"/>
        <v>0.19298919148861504</v>
      </c>
    </row>
    <row r="104" spans="1:17" x14ac:dyDescent="0.45">
      <c r="A104">
        <v>0.48499999999999999</v>
      </c>
      <c r="B104">
        <f t="shared" si="25"/>
        <v>-2.558776638501075E-2</v>
      </c>
      <c r="C104">
        <f t="shared" si="26"/>
        <v>0.18558776638501073</v>
      </c>
      <c r="D104">
        <f t="shared" si="27"/>
        <v>9.4823404369336201E-2</v>
      </c>
      <c r="E104">
        <f t="shared" si="18"/>
        <v>3.6410763014429859E-2</v>
      </c>
      <c r="F104">
        <f t="shared" si="19"/>
        <v>-1.0285568250819735E-2</v>
      </c>
      <c r="G104">
        <f t="shared" si="20"/>
        <v>6.253225484350497E-2</v>
      </c>
      <c r="H104">
        <f t="shared" si="28"/>
        <v>3.3959197334995091E-2</v>
      </c>
      <c r="I104">
        <f t="shared" si="29"/>
        <v>1.0938796002492632E-2</v>
      </c>
      <c r="J104">
        <f t="shared" si="21"/>
        <v>1.4616144521644781E-2</v>
      </c>
      <c r="K104">
        <f t="shared" si="22"/>
        <v>6.4616144521644783E-2</v>
      </c>
      <c r="L104">
        <f t="shared" si="23"/>
        <v>-3.5383855478355222E-2</v>
      </c>
      <c r="M104">
        <f t="shared" si="30"/>
        <v>6.1583678933998034E-2</v>
      </c>
      <c r="N104">
        <f t="shared" si="33"/>
        <v>-3.5383855478355222E-2</v>
      </c>
      <c r="O104">
        <f t="shared" si="24"/>
        <v>0.18558776638501073</v>
      </c>
      <c r="P104">
        <f t="shared" si="31"/>
        <v>-4.2732263717067398E-2</v>
      </c>
      <c r="Q104">
        <f t="shared" si="32"/>
        <v>0.19143398280949697</v>
      </c>
    </row>
    <row r="105" spans="1:17" x14ac:dyDescent="0.45">
      <c r="A105">
        <v>0.49</v>
      </c>
      <c r="B105">
        <f t="shared" si="25"/>
        <v>-2.4215299542816343E-2</v>
      </c>
      <c r="C105">
        <f t="shared" si="26"/>
        <v>0.18421529954281635</v>
      </c>
      <c r="D105">
        <f t="shared" si="27"/>
        <v>9.4457413211417693E-2</v>
      </c>
      <c r="E105">
        <f t="shared" si="18"/>
        <v>3.763399729704342E-2</v>
      </c>
      <c r="F105">
        <f t="shared" si="19"/>
        <v>-9.1496697233238861E-3</v>
      </c>
      <c r="G105">
        <f t="shared" si="20"/>
        <v>6.3312236834378324E-2</v>
      </c>
      <c r="H105">
        <f t="shared" si="28"/>
        <v>3.5185300910506867E-2</v>
      </c>
      <c r="I105">
        <f t="shared" si="29"/>
        <v>1.2777951365760307E-2</v>
      </c>
      <c r="J105">
        <f t="shared" si="21"/>
        <v>1.6450995945565122E-2</v>
      </c>
      <c r="K105">
        <f t="shared" si="22"/>
        <v>6.6450995945565125E-2</v>
      </c>
      <c r="L105">
        <f t="shared" si="23"/>
        <v>-3.3549004054434881E-2</v>
      </c>
      <c r="M105">
        <f t="shared" si="30"/>
        <v>6.2074120364202748E-2</v>
      </c>
      <c r="N105">
        <f t="shared" si="33"/>
        <v>-3.3549004054434881E-2</v>
      </c>
      <c r="O105">
        <f t="shared" si="24"/>
        <v>0.18421529954281635</v>
      </c>
      <c r="P105">
        <f t="shared" si="31"/>
        <v>-4.0898818707488932E-2</v>
      </c>
      <c r="Q105">
        <f t="shared" si="32"/>
        <v>0.18991717236948058</v>
      </c>
    </row>
    <row r="106" spans="1:17" x14ac:dyDescent="0.45">
      <c r="A106">
        <v>0.495</v>
      </c>
      <c r="B106">
        <f t="shared" si="25"/>
        <v>-2.2876719027693913E-2</v>
      </c>
      <c r="C106">
        <f t="shared" si="26"/>
        <v>0.18287671902769392</v>
      </c>
      <c r="D106">
        <f t="shared" si="27"/>
        <v>9.410045840738504E-2</v>
      </c>
      <c r="E106">
        <f t="shared" si="18"/>
        <v>3.8853497716584695E-2</v>
      </c>
      <c r="F106">
        <f t="shared" si="19"/>
        <v>-7.9631777223714145E-3</v>
      </c>
      <c r="G106">
        <f t="shared" si="20"/>
        <v>6.4070624654753425E-2</v>
      </c>
      <c r="H106">
        <f t="shared" si="28"/>
        <v>3.6410763014429859E-2</v>
      </c>
      <c r="I106">
        <f t="shared" si="29"/>
        <v>1.4616144521644781E-2</v>
      </c>
      <c r="J106">
        <f t="shared" si="21"/>
        <v>1.8280246574877028E-2</v>
      </c>
      <c r="K106">
        <f t="shared" si="22"/>
        <v>6.8280246574877024E-2</v>
      </c>
      <c r="L106">
        <f t="shared" si="23"/>
        <v>-3.1719753425122975E-2</v>
      </c>
      <c r="M106">
        <f t="shared" si="30"/>
        <v>6.2564305205771942E-2</v>
      </c>
      <c r="N106">
        <f t="shared" si="33"/>
        <v>-3.1719753425122975E-2</v>
      </c>
      <c r="O106">
        <f t="shared" si="24"/>
        <v>0.18287671902769392</v>
      </c>
      <c r="P106">
        <f t="shared" si="31"/>
        <v>-3.9061203997507371E-2</v>
      </c>
      <c r="Q106">
        <f t="shared" si="32"/>
        <v>0.18843781211266453</v>
      </c>
    </row>
    <row r="107" spans="1:17" x14ac:dyDescent="0.45">
      <c r="A107">
        <v>0.5</v>
      </c>
      <c r="B107">
        <f t="shared" si="25"/>
        <v>-2.1571188183246999E-2</v>
      </c>
      <c r="C107">
        <f t="shared" si="26"/>
        <v>0.18157118818324702</v>
      </c>
      <c r="D107">
        <f t="shared" si="27"/>
        <v>9.3752316848865869E-2</v>
      </c>
      <c r="E107">
        <f t="shared" si="18"/>
        <v>4.0067836610588818E-2</v>
      </c>
      <c r="F107">
        <f t="shared" si="19"/>
        <v>-6.7288350641901695E-3</v>
      </c>
      <c r="G107">
        <f t="shared" si="20"/>
        <v>6.4807437333698731E-2</v>
      </c>
      <c r="H107">
        <f t="shared" si="28"/>
        <v>3.763399729704342E-2</v>
      </c>
      <c r="I107">
        <f t="shared" si="29"/>
        <v>1.6450995945565122E-2</v>
      </c>
      <c r="J107">
        <f t="shared" si="21"/>
        <v>2.0101754915883223E-2</v>
      </c>
      <c r="K107">
        <f t="shared" si="22"/>
        <v>7.0101754915883219E-2</v>
      </c>
      <c r="L107">
        <f t="shared" si="23"/>
        <v>-2.989824508411678E-2</v>
      </c>
      <c r="M107">
        <f t="shared" si="30"/>
        <v>6.3053598918817372E-2</v>
      </c>
      <c r="N107">
        <f t="shared" si="33"/>
        <v>-2.989824508411678E-2</v>
      </c>
      <c r="O107">
        <f t="shared" si="24"/>
        <v>0.18157118818324702</v>
      </c>
      <c r="P107">
        <f t="shared" si="31"/>
        <v>-3.7222048634239696E-2</v>
      </c>
      <c r="Q107">
        <f t="shared" si="32"/>
        <v>0.18699497739073112</v>
      </c>
    </row>
    <row r="108" spans="1:17" x14ac:dyDescent="0.45">
      <c r="A108">
        <v>0.505</v>
      </c>
      <c r="B108">
        <f t="shared" si="25"/>
        <v>-2.0297891010199222E-2</v>
      </c>
      <c r="C108">
        <f t="shared" si="26"/>
        <v>0.18029789101019922</v>
      </c>
      <c r="D108">
        <f t="shared" si="27"/>
        <v>9.341277093605313E-2</v>
      </c>
      <c r="E108">
        <f t="shared" si="18"/>
        <v>4.1275662757828631E-2</v>
      </c>
      <c r="F108">
        <f t="shared" si="19"/>
        <v>-5.449344541315751E-3</v>
      </c>
      <c r="G108">
        <f t="shared" si="20"/>
        <v>6.5522734713668401E-2</v>
      </c>
      <c r="H108">
        <f t="shared" si="28"/>
        <v>3.8853497716584695E-2</v>
      </c>
      <c r="I108">
        <f t="shared" si="29"/>
        <v>1.8280246574877028E-2</v>
      </c>
      <c r="J108">
        <f t="shared" si="21"/>
        <v>2.1913494136742942E-2</v>
      </c>
      <c r="K108">
        <f t="shared" si="22"/>
        <v>7.1913494136742945E-2</v>
      </c>
      <c r="L108">
        <f t="shared" si="23"/>
        <v>-2.8086505863257061E-2</v>
      </c>
      <c r="M108">
        <f t="shared" si="30"/>
        <v>6.3541399086633879E-2</v>
      </c>
      <c r="N108">
        <f t="shared" si="33"/>
        <v>-2.8086505863257061E-2</v>
      </c>
      <c r="O108">
        <f t="shared" si="24"/>
        <v>0.18029789101019922</v>
      </c>
      <c r="P108">
        <f t="shared" si="31"/>
        <v>-3.5383855478355222E-2</v>
      </c>
      <c r="Q108">
        <f t="shared" si="32"/>
        <v>0.18558776638501073</v>
      </c>
    </row>
    <row r="109" spans="1:17" x14ac:dyDescent="0.45">
      <c r="A109">
        <v>0.51</v>
      </c>
      <c r="B109">
        <f t="shared" si="25"/>
        <v>-1.9056031656368079E-2</v>
      </c>
      <c r="C109">
        <f t="shared" si="26"/>
        <v>0.17905603165636808</v>
      </c>
      <c r="D109">
        <f t="shared" si="27"/>
        <v>9.308160844169816E-2</v>
      </c>
      <c r="E109">
        <f t="shared" si="18"/>
        <v>4.2475699433870709E-2</v>
      </c>
      <c r="F109">
        <f t="shared" si="19"/>
        <v>-4.1273675646515129E-3</v>
      </c>
      <c r="G109">
        <f t="shared" si="20"/>
        <v>6.6216614498363288E-2</v>
      </c>
      <c r="H109">
        <f t="shared" si="28"/>
        <v>4.0067836610588818E-2</v>
      </c>
      <c r="I109">
        <f t="shared" si="29"/>
        <v>2.0101754915883223E-2</v>
      </c>
      <c r="J109">
        <f t="shared" si="21"/>
        <v>2.3713549150806076E-2</v>
      </c>
      <c r="K109">
        <f t="shared" si="22"/>
        <v>7.3713549150806079E-2</v>
      </c>
      <c r="L109">
        <f t="shared" si="23"/>
        <v>-2.6286450849193926E-2</v>
      </c>
      <c r="M109">
        <f t="shared" si="30"/>
        <v>6.4027134644235525E-2</v>
      </c>
      <c r="N109">
        <f t="shared" si="33"/>
        <v>-2.6286450849193926E-2</v>
      </c>
      <c r="O109">
        <f t="shared" si="24"/>
        <v>0.17905603165636808</v>
      </c>
      <c r="P109">
        <f t="shared" si="31"/>
        <v>-3.3549004054434881E-2</v>
      </c>
      <c r="Q109">
        <f t="shared" si="32"/>
        <v>0.18421529954281635</v>
      </c>
    </row>
    <row r="110" spans="1:17" x14ac:dyDescent="0.45">
      <c r="A110">
        <v>0.51500000000000001</v>
      </c>
      <c r="B110">
        <f t="shared" si="25"/>
        <v>-1.7844833919231452E-2</v>
      </c>
      <c r="C110">
        <f t="shared" si="26"/>
        <v>0.17784483391923145</v>
      </c>
      <c r="D110">
        <f t="shared" si="27"/>
        <v>9.2758622378461719E-2</v>
      </c>
      <c r="E110">
        <f t="shared" si="18"/>
        <v>4.3666742463125942E-2</v>
      </c>
      <c r="F110">
        <f t="shared" si="19"/>
        <v>-2.765522888384303E-3</v>
      </c>
      <c r="G110">
        <f t="shared" si="20"/>
        <v>6.6889209431732835E-2</v>
      </c>
      <c r="H110">
        <f t="shared" si="28"/>
        <v>4.1275662757828631E-2</v>
      </c>
      <c r="I110">
        <f t="shared" si="29"/>
        <v>2.1913494136742942E-2</v>
      </c>
      <c r="J110">
        <f t="shared" si="21"/>
        <v>2.5500113694688908E-2</v>
      </c>
      <c r="K110">
        <f t="shared" si="22"/>
        <v>7.5500113694688911E-2</v>
      </c>
      <c r="L110">
        <f t="shared" si="23"/>
        <v>-2.4499886305311094E-2</v>
      </c>
      <c r="M110">
        <f t="shared" si="30"/>
        <v>6.4510265103131459E-2</v>
      </c>
      <c r="N110">
        <f t="shared" si="33"/>
        <v>-2.4499886305311094E-2</v>
      </c>
      <c r="O110">
        <f t="shared" si="24"/>
        <v>0.17784483391923145</v>
      </c>
      <c r="P110">
        <f t="shared" si="31"/>
        <v>-3.1719753425122975E-2</v>
      </c>
      <c r="Q110">
        <f t="shared" si="32"/>
        <v>0.18287671902769392</v>
      </c>
    </row>
    <row r="111" spans="1:17" x14ac:dyDescent="0.45">
      <c r="A111">
        <v>0.52</v>
      </c>
      <c r="B111">
        <f t="shared" si="25"/>
        <v>-1.6663540760775822E-2</v>
      </c>
      <c r="C111">
        <f t="shared" si="26"/>
        <v>0.17666354076077584</v>
      </c>
      <c r="D111">
        <f t="shared" si="27"/>
        <v>9.2443610869540227E-2</v>
      </c>
      <c r="E111">
        <f t="shared" si="18"/>
        <v>4.4847658270136509E-2</v>
      </c>
      <c r="F111">
        <f t="shared" si="19"/>
        <v>-1.3663854163825651E-3</v>
      </c>
      <c r="G111">
        <f t="shared" si="20"/>
        <v>6.7540684604517315E-2</v>
      </c>
      <c r="H111">
        <f t="shared" si="28"/>
        <v>4.2475699433870709E-2</v>
      </c>
      <c r="I111">
        <f t="shared" si="29"/>
        <v>2.3713549150806076E-2</v>
      </c>
      <c r="J111">
        <f t="shared" si="21"/>
        <v>2.7271487405204763E-2</v>
      </c>
      <c r="K111">
        <f t="shared" si="22"/>
        <v>7.7271487405204758E-2</v>
      </c>
      <c r="L111">
        <f t="shared" si="23"/>
        <v>-2.272851259479524E-2</v>
      </c>
      <c r="M111">
        <f t="shared" si="30"/>
        <v>6.4990279773548293E-2</v>
      </c>
      <c r="N111">
        <f t="shared" si="33"/>
        <v>-2.272851259479524E-2</v>
      </c>
      <c r="O111">
        <f t="shared" si="24"/>
        <v>0.17666354076077584</v>
      </c>
      <c r="P111">
        <f t="shared" si="31"/>
        <v>-2.989824508411678E-2</v>
      </c>
      <c r="Q111">
        <f t="shared" si="32"/>
        <v>0.18157118818324702</v>
      </c>
    </row>
    <row r="112" spans="1:17" x14ac:dyDescent="0.45">
      <c r="A112">
        <v>0.52500000000000002</v>
      </c>
      <c r="B112">
        <f t="shared" si="25"/>
        <v>-1.5511413834322765E-2</v>
      </c>
      <c r="C112">
        <f t="shared" si="26"/>
        <v>0.17551141383432278</v>
      </c>
      <c r="D112">
        <f t="shared" si="27"/>
        <v>9.2136377022486074E-2</v>
      </c>
      <c r="E112">
        <f t="shared" si="18"/>
        <v>4.601738193270944E-2</v>
      </c>
      <c r="F112">
        <f t="shared" si="19"/>
        <v>6.7514911333915739E-5</v>
      </c>
      <c r="G112">
        <f t="shared" si="20"/>
        <v>6.8171234884730078E-2</v>
      </c>
      <c r="H112">
        <f t="shared" si="28"/>
        <v>4.3666742463125942E-2</v>
      </c>
      <c r="I112">
        <f t="shared" si="29"/>
        <v>2.5500113694688908E-2</v>
      </c>
      <c r="J112">
        <f t="shared" si="21"/>
        <v>2.9026072899064156E-2</v>
      </c>
      <c r="K112">
        <f t="shared" si="22"/>
        <v>7.9026072899064159E-2</v>
      </c>
      <c r="L112">
        <f t="shared" si="23"/>
        <v>-2.0973927100935846E-2</v>
      </c>
      <c r="M112">
        <f t="shared" si="30"/>
        <v>6.5466696985250372E-2</v>
      </c>
      <c r="N112">
        <f t="shared" si="33"/>
        <v>-2.0973927100935846E-2</v>
      </c>
      <c r="O112">
        <f t="shared" si="24"/>
        <v>0.17551141383432278</v>
      </c>
      <c r="P112">
        <f t="shared" si="31"/>
        <v>-2.8086505863257061E-2</v>
      </c>
      <c r="Q112">
        <f t="shared" si="32"/>
        <v>0.18029789101019922</v>
      </c>
    </row>
    <row r="113" spans="1:17" x14ac:dyDescent="0.45">
      <c r="A113">
        <v>0.53</v>
      </c>
      <c r="B113">
        <f t="shared" si="25"/>
        <v>-1.4387733023038383E-2</v>
      </c>
      <c r="C113">
        <f t="shared" si="26"/>
        <v>0.17438773302303839</v>
      </c>
      <c r="D113">
        <f t="shared" si="27"/>
        <v>9.1836728806143575E-2</v>
      </c>
      <c r="E113">
        <f t="shared" si="18"/>
        <v>4.7174915239376045E-2</v>
      </c>
      <c r="F113">
        <f t="shared" si="19"/>
        <v>1.5336941534948023E-3</v>
      </c>
      <c r="G113">
        <f t="shared" si="20"/>
        <v>6.8781082468488366E-2</v>
      </c>
      <c r="H113">
        <f t="shared" si="28"/>
        <v>4.4847658270136509E-2</v>
      </c>
      <c r="I113">
        <f t="shared" si="29"/>
        <v>2.7271487405204763E-2</v>
      </c>
      <c r="J113">
        <f t="shared" si="21"/>
        <v>3.0762372859064052E-2</v>
      </c>
      <c r="K113">
        <f t="shared" si="22"/>
        <v>8.0762372859064055E-2</v>
      </c>
      <c r="L113">
        <f t="shared" si="23"/>
        <v>-1.9237627140935951E-2</v>
      </c>
      <c r="M113">
        <f t="shared" si="30"/>
        <v>6.5939063308054602E-2</v>
      </c>
      <c r="N113">
        <f t="shared" si="33"/>
        <v>-1.9237627140935951E-2</v>
      </c>
      <c r="O113">
        <f t="shared" si="24"/>
        <v>0.17438773302303839</v>
      </c>
      <c r="P113">
        <f t="shared" si="31"/>
        <v>-2.6286450849193926E-2</v>
      </c>
      <c r="Q113">
        <f t="shared" si="32"/>
        <v>0.17905603165636808</v>
      </c>
    </row>
    <row r="114" spans="1:17" x14ac:dyDescent="0.45">
      <c r="A114">
        <v>0.53500000000000003</v>
      </c>
      <c r="B114">
        <f t="shared" si="25"/>
        <v>-1.329179598983668E-2</v>
      </c>
      <c r="C114">
        <f t="shared" si="26"/>
        <v>0.17329179598983668</v>
      </c>
      <c r="D114">
        <f t="shared" si="27"/>
        <v>9.1544478930623119E-2</v>
      </c>
      <c r="E114">
        <f t="shared" si="18"/>
        <v>4.8319324753530714E-2</v>
      </c>
      <c r="F114">
        <f t="shared" si="19"/>
        <v>3.0297153253246722E-3</v>
      </c>
      <c r="G114">
        <f t="shared" si="20"/>
        <v>6.9370474547614927E-2</v>
      </c>
      <c r="H114">
        <f t="shared" si="28"/>
        <v>4.601738193270944E-2</v>
      </c>
      <c r="I114">
        <f t="shared" si="29"/>
        <v>2.9026072899064156E-2</v>
      </c>
      <c r="J114">
        <f t="shared" si="21"/>
        <v>3.2478987130296073E-2</v>
      </c>
      <c r="K114">
        <f t="shared" si="22"/>
        <v>8.2478987130296083E-2</v>
      </c>
      <c r="L114">
        <f t="shared" si="23"/>
        <v>-1.7521012869703929E-2</v>
      </c>
      <c r="M114">
        <f t="shared" si="30"/>
        <v>6.6406952773083783E-2</v>
      </c>
      <c r="N114">
        <f t="shared" si="33"/>
        <v>-1.7521012869703929E-2</v>
      </c>
      <c r="O114">
        <f t="shared" si="24"/>
        <v>0.17329179598983668</v>
      </c>
      <c r="P114">
        <f t="shared" si="31"/>
        <v>-2.4499886305311094E-2</v>
      </c>
      <c r="Q114">
        <f t="shared" si="32"/>
        <v>0.17784483391923145</v>
      </c>
    </row>
    <row r="115" spans="1:17" x14ac:dyDescent="0.45">
      <c r="A115">
        <v>0.54</v>
      </c>
      <c r="B115">
        <f t="shared" si="25"/>
        <v>-1.2222917738396129E-2</v>
      </c>
      <c r="C115">
        <f t="shared" si="26"/>
        <v>0.17222291773839615</v>
      </c>
      <c r="D115">
        <f t="shared" si="27"/>
        <v>9.1259444730238976E-2</v>
      </c>
      <c r="E115">
        <f t="shared" si="18"/>
        <v>4.94497398864788E-2</v>
      </c>
      <c r="F115">
        <f t="shared" si="19"/>
        <v>4.5531892806351809E-3</v>
      </c>
      <c r="G115">
        <f t="shared" si="20"/>
        <v>6.9939681090453815E-2</v>
      </c>
      <c r="H115">
        <f t="shared" si="28"/>
        <v>4.7174915239376045E-2</v>
      </c>
      <c r="I115">
        <f t="shared" si="29"/>
        <v>3.0762372859064052E-2</v>
      </c>
      <c r="J115">
        <f t="shared" si="21"/>
        <v>3.4174609829718205E-2</v>
      </c>
      <c r="K115">
        <f t="shared" si="22"/>
        <v>8.4174609829718208E-2</v>
      </c>
      <c r="L115">
        <f t="shared" si="23"/>
        <v>-1.5825390170281797E-2</v>
      </c>
      <c r="M115">
        <f t="shared" si="30"/>
        <v>6.6869966095750411E-2</v>
      </c>
      <c r="N115">
        <f t="shared" si="33"/>
        <v>-1.5825390170281797E-2</v>
      </c>
      <c r="O115">
        <f t="shared" si="24"/>
        <v>0.17222291773839615</v>
      </c>
      <c r="P115">
        <f t="shared" si="31"/>
        <v>-2.272851259479524E-2</v>
      </c>
      <c r="Q115">
        <f t="shared" si="32"/>
        <v>0.17666354076077584</v>
      </c>
    </row>
    <row r="116" spans="1:17" x14ac:dyDescent="0.45">
      <c r="A116">
        <v>0.54500000000000004</v>
      </c>
      <c r="B116">
        <f t="shared" si="25"/>
        <v>-1.1180430185014661E-2</v>
      </c>
      <c r="C116">
        <f t="shared" si="26"/>
        <v>0.17118043018501466</v>
      </c>
      <c r="D116">
        <f t="shared" si="27"/>
        <v>9.0981448049337249E-2</v>
      </c>
      <c r="E116">
        <f t="shared" si="18"/>
        <v>5.0565350981502305E-2</v>
      </c>
      <c r="F116">
        <f t="shared" si="19"/>
        <v>6.1017755197916024E-3</v>
      </c>
      <c r="G116">
        <f t="shared" si="20"/>
        <v>7.0488992732369415E-2</v>
      </c>
      <c r="H116">
        <f t="shared" si="28"/>
        <v>4.8319324753530714E-2</v>
      </c>
      <c r="I116">
        <f t="shared" si="29"/>
        <v>3.2478987130296073E-2</v>
      </c>
      <c r="J116">
        <f t="shared" si="21"/>
        <v>3.5848026472253457E-2</v>
      </c>
      <c r="K116">
        <f t="shared" si="22"/>
        <v>8.5848026472253453E-2</v>
      </c>
      <c r="L116">
        <f t="shared" si="23"/>
        <v>-1.4151973527746546E-2</v>
      </c>
      <c r="M116">
        <f t="shared" si="30"/>
        <v>6.7327729901412281E-2</v>
      </c>
      <c r="N116">
        <f t="shared" si="33"/>
        <v>-1.4151973527746546E-2</v>
      </c>
      <c r="O116">
        <f t="shared" si="24"/>
        <v>0.17118043018501466</v>
      </c>
      <c r="P116">
        <f t="shared" si="31"/>
        <v>-2.0973927100935846E-2</v>
      </c>
      <c r="Q116">
        <f t="shared" si="32"/>
        <v>0.17551141383432278</v>
      </c>
    </row>
    <row r="117" spans="1:17" x14ac:dyDescent="0.45">
      <c r="A117">
        <v>0.55000000000000004</v>
      </c>
      <c r="B117">
        <f t="shared" si="25"/>
        <v>-1.0163681741035546E-2</v>
      </c>
      <c r="C117">
        <f t="shared" si="26"/>
        <v>0.17016368174103555</v>
      </c>
      <c r="D117">
        <f t="shared" si="27"/>
        <v>9.0710315130942812E-2</v>
      </c>
      <c r="E117">
        <f t="shared" si="18"/>
        <v>5.1665407410935602E-2</v>
      </c>
      <c r="F117">
        <f t="shared" si="19"/>
        <v>7.6731829251061034E-3</v>
      </c>
      <c r="G117">
        <f t="shared" si="20"/>
        <v>7.1018718772428699E-2</v>
      </c>
      <c r="H117">
        <f t="shared" si="28"/>
        <v>4.94497398864788E-2</v>
      </c>
      <c r="I117">
        <f t="shared" si="29"/>
        <v>3.4174609829718205E-2</v>
      </c>
      <c r="J117">
        <f t="shared" si="21"/>
        <v>3.7498111116403401E-2</v>
      </c>
      <c r="K117">
        <f t="shared" si="22"/>
        <v>8.7498111116403404E-2</v>
      </c>
      <c r="L117">
        <f t="shared" si="23"/>
        <v>-1.2501888883596601E-2</v>
      </c>
      <c r="M117">
        <f t="shared" si="30"/>
        <v>6.7779895954591524E-2</v>
      </c>
      <c r="N117">
        <f t="shared" si="33"/>
        <v>-1.2501888883596601E-2</v>
      </c>
      <c r="O117">
        <f t="shared" si="24"/>
        <v>0.17016368174103555</v>
      </c>
      <c r="P117">
        <f t="shared" si="31"/>
        <v>-1.9237627140935951E-2</v>
      </c>
      <c r="Q117">
        <f t="shared" si="32"/>
        <v>0.17438773302303839</v>
      </c>
    </row>
    <row r="118" spans="1:17" x14ac:dyDescent="0.45">
      <c r="A118">
        <v>0.55500000000000005</v>
      </c>
      <c r="B118">
        <f t="shared" si="25"/>
        <v>-9.172036905583332E-3</v>
      </c>
      <c r="C118">
        <f t="shared" si="26"/>
        <v>0.16917203690558336</v>
      </c>
      <c r="D118">
        <f t="shared" si="27"/>
        <v>9.0445876508155554E-2</v>
      </c>
      <c r="E118">
        <f t="shared" si="18"/>
        <v>5.2749215688128126E-2</v>
      </c>
      <c r="F118">
        <f t="shared" si="19"/>
        <v>9.2651704252300626E-3</v>
      </c>
      <c r="G118">
        <f t="shared" si="20"/>
        <v>7.1529185272802831E-2</v>
      </c>
      <c r="H118">
        <f t="shared" si="28"/>
        <v>5.0565350981502305E-2</v>
      </c>
      <c r="I118">
        <f t="shared" si="29"/>
        <v>3.5848026472253457E-2</v>
      </c>
      <c r="J118">
        <f t="shared" si="21"/>
        <v>3.9123823532192181E-2</v>
      </c>
      <c r="K118">
        <f t="shared" si="22"/>
        <v>8.9123823532192184E-2</v>
      </c>
      <c r="L118">
        <f t="shared" si="23"/>
        <v>-1.0876176467807822E-2</v>
      </c>
      <c r="M118">
        <f t="shared" si="30"/>
        <v>6.8226140392600929E-2</v>
      </c>
      <c r="N118">
        <f t="shared" si="33"/>
        <v>-1.0876176467807822E-2</v>
      </c>
      <c r="O118">
        <f t="shared" si="24"/>
        <v>0.16917203690558336</v>
      </c>
      <c r="P118">
        <f t="shared" si="31"/>
        <v>-1.7521012869703929E-2</v>
      </c>
      <c r="Q118">
        <f t="shared" si="32"/>
        <v>0.17329179598983668</v>
      </c>
    </row>
    <row r="119" spans="1:17" x14ac:dyDescent="0.45">
      <c r="A119">
        <v>0.56000000000000005</v>
      </c>
      <c r="B119">
        <f t="shared" si="25"/>
        <v>-8.2048758683550826E-3</v>
      </c>
      <c r="C119">
        <f t="shared" si="26"/>
        <v>0.16820487586835509</v>
      </c>
      <c r="D119">
        <f t="shared" si="27"/>
        <v>9.0187966898228028E-2</v>
      </c>
      <c r="E119">
        <f t="shared" si="18"/>
        <v>5.381613759606059E-2</v>
      </c>
      <c r="F119">
        <f t="shared" si="19"/>
        <v>1.0875547590138812E-2</v>
      </c>
      <c r="G119">
        <f t="shared" si="20"/>
        <v>7.2020733257464095E-2</v>
      </c>
      <c r="H119">
        <f t="shared" si="28"/>
        <v>5.1665407410935602E-2</v>
      </c>
      <c r="I119">
        <f t="shared" si="29"/>
        <v>3.7498111116403401E-2</v>
      </c>
      <c r="J119">
        <f t="shared" si="21"/>
        <v>4.0724206394090884E-2</v>
      </c>
      <c r="K119">
        <f t="shared" si="22"/>
        <v>9.0724206394090887E-2</v>
      </c>
      <c r="L119">
        <f t="shared" si="23"/>
        <v>-9.2757936059091189E-3</v>
      </c>
      <c r="M119">
        <f t="shared" si="30"/>
        <v>6.8666162964374236E-2</v>
      </c>
      <c r="N119">
        <f t="shared" si="33"/>
        <v>-9.2757936059091189E-3</v>
      </c>
      <c r="O119">
        <f t="shared" si="24"/>
        <v>0.16820487586835509</v>
      </c>
      <c r="P119">
        <f t="shared" si="31"/>
        <v>-1.5825390170281797E-2</v>
      </c>
      <c r="Q119">
        <f t="shared" si="32"/>
        <v>0.17222291773839615</v>
      </c>
    </row>
    <row r="120" spans="1:17" x14ac:dyDescent="0.45">
      <c r="A120">
        <v>0.56499999999999995</v>
      </c>
      <c r="B120">
        <f t="shared" si="25"/>
        <v>-7.2615941222187522E-3</v>
      </c>
      <c r="C120">
        <f t="shared" si="26"/>
        <v>0.16726159412221875</v>
      </c>
      <c r="D120">
        <f t="shared" si="27"/>
        <v>8.9936425099258338E-2</v>
      </c>
      <c r="E120">
        <f t="shared" si="18"/>
        <v>5.4865588334272547E-2</v>
      </c>
      <c r="F120">
        <f t="shared" si="19"/>
        <v>1.2502175158317141E-2</v>
      </c>
      <c r="G120">
        <f t="shared" si="20"/>
        <v>7.2493717006797756E-2</v>
      </c>
      <c r="H120">
        <f t="shared" si="28"/>
        <v>5.2749215688128126E-2</v>
      </c>
      <c r="I120">
        <f t="shared" si="29"/>
        <v>3.9123823532192181E-2</v>
      </c>
      <c r="J120">
        <f t="shared" si="21"/>
        <v>4.2298382501408813E-2</v>
      </c>
      <c r="K120">
        <f t="shared" si="22"/>
        <v>9.2298382501408816E-2</v>
      </c>
      <c r="L120">
        <f t="shared" si="23"/>
        <v>-7.70161749859119E-3</v>
      </c>
      <c r="M120">
        <f t="shared" si="30"/>
        <v>6.9099686275251246E-2</v>
      </c>
      <c r="N120">
        <f t="shared" si="33"/>
        <v>-7.70161749859119E-3</v>
      </c>
      <c r="O120">
        <f t="shared" si="24"/>
        <v>0.16726159412221875</v>
      </c>
      <c r="P120">
        <f t="shared" si="31"/>
        <v>-1.4151973527746546E-2</v>
      </c>
      <c r="Q120">
        <f t="shared" si="32"/>
        <v>0.17118043018501466</v>
      </c>
    </row>
    <row r="121" spans="1:17" x14ac:dyDescent="0.45">
      <c r="A121">
        <v>0.56999999999999995</v>
      </c>
      <c r="B121">
        <f t="shared" si="25"/>
        <v>-6.3416020853766172E-3</v>
      </c>
      <c r="C121">
        <f t="shared" si="26"/>
        <v>0.16634160208537663</v>
      </c>
      <c r="D121">
        <f t="shared" si="27"/>
        <v>8.9691093889433762E-2</v>
      </c>
      <c r="E121">
        <f t="shared" si="18"/>
        <v>5.5897034685654531E-2</v>
      </c>
      <c r="F121">
        <f t="shared" si="19"/>
        <v>1.4142965497771387E-2</v>
      </c>
      <c r="G121">
        <f t="shared" si="20"/>
        <v>7.2948502444796837E-2</v>
      </c>
      <c r="H121">
        <f t="shared" si="28"/>
        <v>5.381613759606059E-2</v>
      </c>
      <c r="I121">
        <f t="shared" si="29"/>
        <v>4.0724206394090884E-2</v>
      </c>
      <c r="J121">
        <f t="shared" si="21"/>
        <v>4.3845552028481796E-2</v>
      </c>
      <c r="K121">
        <f t="shared" si="22"/>
        <v>9.3845552028481799E-2</v>
      </c>
      <c r="L121">
        <f t="shared" si="23"/>
        <v>-6.1544479715182066E-3</v>
      </c>
      <c r="M121">
        <f t="shared" si="30"/>
        <v>6.9526455038424237E-2</v>
      </c>
      <c r="N121">
        <f t="shared" si="33"/>
        <v>-6.1544479715182066E-3</v>
      </c>
      <c r="O121">
        <f t="shared" si="24"/>
        <v>0.16634160208537663</v>
      </c>
      <c r="P121">
        <f t="shared" si="31"/>
        <v>-1.2501888883596601E-2</v>
      </c>
      <c r="Q121">
        <f t="shared" si="32"/>
        <v>0.17016368174103555</v>
      </c>
    </row>
    <row r="122" spans="1:17" x14ac:dyDescent="0.45">
      <c r="A122">
        <v>0.57499999999999996</v>
      </c>
      <c r="B122">
        <f t="shared" si="25"/>
        <v>-5.4443247328573516E-3</v>
      </c>
      <c r="C122">
        <f t="shared" si="26"/>
        <v>0.16544432473285736</v>
      </c>
      <c r="D122">
        <f t="shared" si="27"/>
        <v>8.9451819928761958E-2</v>
      </c>
      <c r="E122">
        <f t="shared" si="18"/>
        <v>5.6909993204555566E-2</v>
      </c>
      <c r="F122">
        <f t="shared" si="19"/>
        <v>1.579588300250416E-2</v>
      </c>
      <c r="G122">
        <f t="shared" si="20"/>
        <v>7.3385465615557241E-2</v>
      </c>
      <c r="H122">
        <f t="shared" si="28"/>
        <v>5.4865588334272547E-2</v>
      </c>
      <c r="I122">
        <f t="shared" si="29"/>
        <v>4.2298382501408813E-2</v>
      </c>
      <c r="J122">
        <f t="shared" si="21"/>
        <v>4.5364989806833345E-2</v>
      </c>
      <c r="K122">
        <f t="shared" si="22"/>
        <v>9.5364989806833347E-2</v>
      </c>
      <c r="L122">
        <f t="shared" si="23"/>
        <v>-4.6350101931666582E-3</v>
      </c>
      <c r="M122">
        <f t="shared" si="30"/>
        <v>6.9946235333709014E-2</v>
      </c>
      <c r="N122">
        <f t="shared" si="33"/>
        <v>-4.6350101931666582E-3</v>
      </c>
      <c r="O122">
        <f t="shared" si="24"/>
        <v>0.16544432473285736</v>
      </c>
      <c r="P122">
        <f t="shared" si="31"/>
        <v>-1.0876176467807822E-2</v>
      </c>
      <c r="Q122">
        <f t="shared" si="32"/>
        <v>0.16917203690558336</v>
      </c>
    </row>
    <row r="123" spans="1:17" x14ac:dyDescent="0.45">
      <c r="A123">
        <v>0.57999999999999996</v>
      </c>
      <c r="B123">
        <f t="shared" si="25"/>
        <v>-4.5692012371067667E-3</v>
      </c>
      <c r="C123">
        <f t="shared" si="26"/>
        <v>0.16456920123710678</v>
      </c>
      <c r="D123">
        <f t="shared" si="27"/>
        <v>8.9218453663228475E-2</v>
      </c>
      <c r="E123">
        <f t="shared" si="18"/>
        <v>5.7904028427558527E-2</v>
      </c>
      <c r="F123">
        <f t="shared" si="19"/>
        <v>1.7458944426101103E-2</v>
      </c>
      <c r="G123">
        <f t="shared" si="20"/>
        <v>7.3804991245845497E-2</v>
      </c>
      <c r="H123">
        <f t="shared" si="28"/>
        <v>5.5897034685654531E-2</v>
      </c>
      <c r="I123">
        <f t="shared" si="29"/>
        <v>4.3845552028481796E-2</v>
      </c>
      <c r="J123">
        <f t="shared" si="21"/>
        <v>4.6856042641337789E-2</v>
      </c>
      <c r="K123">
        <f t="shared" si="22"/>
        <v>9.6856042641337792E-2</v>
      </c>
      <c r="L123">
        <f t="shared" si="23"/>
        <v>-3.1439573586622138E-3</v>
      </c>
      <c r="M123">
        <f t="shared" si="30"/>
        <v>7.0358813874261808E-2</v>
      </c>
      <c r="N123">
        <f t="shared" si="33"/>
        <v>-3.1439573586622138E-3</v>
      </c>
      <c r="O123">
        <f t="shared" si="24"/>
        <v>0.16456920123710678</v>
      </c>
      <c r="P123">
        <f t="shared" si="31"/>
        <v>-9.2757936059091189E-3</v>
      </c>
      <c r="Q123">
        <f t="shared" si="32"/>
        <v>0.16820487586835509</v>
      </c>
    </row>
    <row r="124" spans="1:17" x14ac:dyDescent="0.45">
      <c r="A124">
        <v>0.58499999999999996</v>
      </c>
      <c r="B124">
        <f t="shared" si="25"/>
        <v>-3.7156846174523153E-3</v>
      </c>
      <c r="C124">
        <f t="shared" si="26"/>
        <v>0.16371568461745234</v>
      </c>
      <c r="D124">
        <f t="shared" si="27"/>
        <v>8.8990849231320626E-2</v>
      </c>
      <c r="E124">
        <f t="shared" si="18"/>
        <v>5.8878751108179486E-2</v>
      </c>
      <c r="F124">
        <f t="shared" si="19"/>
        <v>1.9130219154086706E-2</v>
      </c>
      <c r="G124">
        <f t="shared" si="20"/>
        <v>7.4207471390566604E-2</v>
      </c>
      <c r="H124">
        <f t="shared" si="28"/>
        <v>5.6909993204555566E-2</v>
      </c>
      <c r="I124">
        <f t="shared" si="29"/>
        <v>4.5364989806833345E-2</v>
      </c>
      <c r="J124">
        <f t="shared" si="21"/>
        <v>4.8318126662269235E-2</v>
      </c>
      <c r="K124">
        <f t="shared" si="22"/>
        <v>9.8318126662269245E-2</v>
      </c>
      <c r="L124">
        <f t="shared" si="23"/>
        <v>-1.6818733377307674E-3</v>
      </c>
      <c r="M124">
        <f t="shared" si="30"/>
        <v>7.0763997281822227E-2</v>
      </c>
      <c r="N124">
        <f t="shared" si="33"/>
        <v>-1.6818733377307674E-3</v>
      </c>
      <c r="O124">
        <f t="shared" si="24"/>
        <v>0.16371568461745234</v>
      </c>
      <c r="P124">
        <f t="shared" si="31"/>
        <v>-7.70161749859119E-3</v>
      </c>
      <c r="Q124">
        <f t="shared" si="32"/>
        <v>0.16726159412221875</v>
      </c>
    </row>
    <row r="125" spans="1:17" x14ac:dyDescent="0.45">
      <c r="A125">
        <v>0.59</v>
      </c>
      <c r="B125">
        <f t="shared" si="25"/>
        <v>-2.8832413982224289E-3</v>
      </c>
      <c r="C125">
        <f t="shared" si="26"/>
        <v>0.16288324139822241</v>
      </c>
      <c r="D125">
        <f t="shared" si="27"/>
        <v>8.8768864372859316E-2</v>
      </c>
      <c r="E125">
        <f t="shared" si="18"/>
        <v>5.9833816476654485E-2</v>
      </c>
      <c r="F125">
        <f t="shared" si="19"/>
        <v>2.0807829416713663E-2</v>
      </c>
      <c r="G125">
        <f t="shared" si="20"/>
        <v>7.4593304158018653E-2</v>
      </c>
      <c r="H125">
        <f t="shared" si="28"/>
        <v>5.7904028427558527E-2</v>
      </c>
      <c r="I125">
        <f t="shared" si="29"/>
        <v>4.6856042641337789E-2</v>
      </c>
      <c r="J125">
        <f t="shared" si="21"/>
        <v>4.9750724714981723E-2</v>
      </c>
      <c r="K125">
        <f t="shared" si="22"/>
        <v>9.9750724714981726E-2</v>
      </c>
      <c r="L125">
        <f t="shared" si="23"/>
        <v>-2.4927528501828E-4</v>
      </c>
      <c r="M125">
        <f t="shared" si="30"/>
        <v>7.116161137102342E-2</v>
      </c>
      <c r="N125">
        <f t="shared" si="33"/>
        <v>-2.4927528501828E-4</v>
      </c>
      <c r="O125">
        <f t="shared" si="24"/>
        <v>0.16288324139822241</v>
      </c>
      <c r="P125">
        <f t="shared" si="31"/>
        <v>-6.1544479715182066E-3</v>
      </c>
      <c r="Q125">
        <f t="shared" si="32"/>
        <v>0.16634160208537663</v>
      </c>
    </row>
    <row r="126" spans="1:17" x14ac:dyDescent="0.45">
      <c r="A126">
        <v>0.59499999999999997</v>
      </c>
      <c r="B126">
        <f t="shared" si="25"/>
        <v>-2.0713512753067487E-3</v>
      </c>
      <c r="C126">
        <f t="shared" si="26"/>
        <v>0.16207135127530675</v>
      </c>
      <c r="D126">
        <f t="shared" si="27"/>
        <v>8.8552360340081807E-2</v>
      </c>
      <c r="E126">
        <f t="shared" si="18"/>
        <v>6.0768922525887281E-2</v>
      </c>
      <c r="F126">
        <f t="shared" si="19"/>
        <v>2.2489950443855482E-2</v>
      </c>
      <c r="G126">
        <f t="shared" si="20"/>
        <v>7.4962892511880624E-2</v>
      </c>
      <c r="H126">
        <f t="shared" si="28"/>
        <v>5.8878751108179486E-2</v>
      </c>
      <c r="I126">
        <f t="shared" si="29"/>
        <v>4.8318126662269235E-2</v>
      </c>
      <c r="J126">
        <f t="shared" si="21"/>
        <v>5.1153383788830914E-2</v>
      </c>
      <c r="K126">
        <f t="shared" si="22"/>
        <v>0.10115338378883092</v>
      </c>
      <c r="L126">
        <f t="shared" si="23"/>
        <v>1.1533837888309112E-3</v>
      </c>
      <c r="M126">
        <f t="shared" si="30"/>
        <v>7.1551500443271798E-2</v>
      </c>
      <c r="N126">
        <f t="shared" si="33"/>
        <v>1.1533837888309112E-3</v>
      </c>
      <c r="O126">
        <f t="shared" si="24"/>
        <v>0.16207135127530675</v>
      </c>
      <c r="P126">
        <f t="shared" si="31"/>
        <v>-4.6350101931666582E-3</v>
      </c>
      <c r="Q126">
        <f t="shared" si="32"/>
        <v>0.16544432473285736</v>
      </c>
    </row>
    <row r="127" spans="1:17" x14ac:dyDescent="0.45">
      <c r="A127">
        <v>0.6</v>
      </c>
      <c r="B127">
        <f t="shared" si="25"/>
        <v>-1.2795067909491808E-3</v>
      </c>
      <c r="C127">
        <f t="shared" si="26"/>
        <v>0.16127950679094918</v>
      </c>
      <c r="D127">
        <f t="shared" si="27"/>
        <v>8.8341201810919784E-2</v>
      </c>
      <c r="E127">
        <f t="shared" si="18"/>
        <v>6.168380832454496E-2</v>
      </c>
      <c r="F127">
        <f t="shared" si="19"/>
        <v>2.4174810563676166E-2</v>
      </c>
      <c r="G127">
        <f t="shared" si="20"/>
        <v>7.5316643146942863E-2</v>
      </c>
      <c r="H127">
        <f t="shared" si="28"/>
        <v>5.9833816476654485E-2</v>
      </c>
      <c r="I127">
        <f t="shared" si="29"/>
        <v>4.9750724714981723E-2</v>
      </c>
      <c r="J127">
        <f t="shared" si="21"/>
        <v>5.2525712486817436E-2</v>
      </c>
      <c r="K127">
        <f t="shared" si="22"/>
        <v>0.10252571248681744</v>
      </c>
      <c r="L127">
        <f t="shared" si="23"/>
        <v>2.525712486817433E-3</v>
      </c>
      <c r="M127">
        <f t="shared" si="30"/>
        <v>7.1933526590661795E-2</v>
      </c>
      <c r="N127">
        <f t="shared" si="33"/>
        <v>2.525712486817433E-3</v>
      </c>
      <c r="O127">
        <f t="shared" si="24"/>
        <v>0.16127950679094918</v>
      </c>
      <c r="P127">
        <f t="shared" si="31"/>
        <v>-3.1439573586622138E-3</v>
      </c>
      <c r="Q127">
        <f t="shared" si="32"/>
        <v>0.16456920123710678</v>
      </c>
    </row>
    <row r="128" spans="1:17" x14ac:dyDescent="0.45">
      <c r="A128">
        <v>0.60499999999999998</v>
      </c>
      <c r="B128">
        <f t="shared" si="25"/>
        <v>-5.0721301657027928E-4</v>
      </c>
      <c r="C128">
        <f t="shared" si="26"/>
        <v>0.16050721301657028</v>
      </c>
      <c r="D128">
        <f t="shared" si="27"/>
        <v>8.8135256804418749E-2</v>
      </c>
      <c r="E128">
        <f t="shared" si="18"/>
        <v>6.2578252358203842E-2</v>
      </c>
      <c r="F128">
        <f t="shared" si="19"/>
        <v>2.5860691246751111E-2</v>
      </c>
      <c r="G128">
        <f t="shared" si="20"/>
        <v>7.5654965435652768E-2</v>
      </c>
      <c r="H128">
        <f t="shared" si="28"/>
        <v>6.0768922525887281E-2</v>
      </c>
      <c r="I128">
        <f t="shared" si="29"/>
        <v>5.1153383788830914E-2</v>
      </c>
      <c r="J128">
        <f t="shared" si="21"/>
        <v>5.3867378537305763E-2</v>
      </c>
      <c r="K128">
        <f t="shared" si="22"/>
        <v>0.10386737853730577</v>
      </c>
      <c r="L128">
        <f t="shared" si="23"/>
        <v>3.8673785373057601E-3</v>
      </c>
      <c r="M128">
        <f t="shared" si="30"/>
        <v>7.2307569010354913E-2</v>
      </c>
      <c r="N128">
        <f t="shared" si="33"/>
        <v>3.8673785373057601E-3</v>
      </c>
      <c r="O128">
        <f t="shared" si="24"/>
        <v>0.16050721301657028</v>
      </c>
      <c r="P128">
        <f t="shared" si="31"/>
        <v>-1.6818733377307674E-3</v>
      </c>
      <c r="Q128">
        <f t="shared" si="32"/>
        <v>0.16371568461745234</v>
      </c>
    </row>
    <row r="129" spans="1:17" x14ac:dyDescent="0.45">
      <c r="A129">
        <v>0.61</v>
      </c>
      <c r="B129">
        <f t="shared" si="25"/>
        <v>2.4601275657924054E-4</v>
      </c>
      <c r="C129">
        <f t="shared" si="26"/>
        <v>0.15975398724342077</v>
      </c>
      <c r="D129">
        <f t="shared" si="27"/>
        <v>8.7934396598245534E-2</v>
      </c>
      <c r="E129">
        <f t="shared" si="18"/>
        <v>6.3452070899367746E-2</v>
      </c>
      <c r="F129">
        <f t="shared" si="19"/>
        <v>2.7545927097315591E-2</v>
      </c>
      <c r="G129">
        <f t="shared" si="20"/>
        <v>7.5978270442613655E-2</v>
      </c>
      <c r="H129">
        <f t="shared" si="28"/>
        <v>6.168380832454496E-2</v>
      </c>
      <c r="I129">
        <f t="shared" si="29"/>
        <v>5.2525712486817436E-2</v>
      </c>
      <c r="J129">
        <f t="shared" si="21"/>
        <v>5.5178106349051619E-2</v>
      </c>
      <c r="K129">
        <f t="shared" si="22"/>
        <v>0.10517810634905161</v>
      </c>
      <c r="L129">
        <f t="shared" si="23"/>
        <v>5.1781063490516158E-3</v>
      </c>
      <c r="M129">
        <f t="shared" si="30"/>
        <v>7.2673523329817982E-2</v>
      </c>
      <c r="N129">
        <f t="shared" si="33"/>
        <v>5.1781063490516158E-3</v>
      </c>
      <c r="O129">
        <f t="shared" si="24"/>
        <v>0.15975398724342077</v>
      </c>
      <c r="P129">
        <f t="shared" si="31"/>
        <v>-2.4927528501828E-4</v>
      </c>
      <c r="Q129">
        <f t="shared" si="32"/>
        <v>0.16288324139822241</v>
      </c>
    </row>
    <row r="130" spans="1:17" x14ac:dyDescent="0.45">
      <c r="A130">
        <v>0.61499999999999999</v>
      </c>
      <c r="B130">
        <f t="shared" si="25"/>
        <v>9.8064131912715957E-4</v>
      </c>
      <c r="C130">
        <f t="shared" si="26"/>
        <v>0.15901935868087286</v>
      </c>
      <c r="D130">
        <f t="shared" si="27"/>
        <v>8.7738495648232759E-2</v>
      </c>
      <c r="E130">
        <f t="shared" si="18"/>
        <v>6.4305116407101695E-2</v>
      </c>
      <c r="F130">
        <f t="shared" si="19"/>
        <v>2.9228905793313213E-2</v>
      </c>
      <c r="G130">
        <f t="shared" si="20"/>
        <v>7.6286970004240826E-2</v>
      </c>
      <c r="H130">
        <f t="shared" si="28"/>
        <v>6.2578252358203842E-2</v>
      </c>
      <c r="I130">
        <f t="shared" si="29"/>
        <v>5.3867378537305763E-2</v>
      </c>
      <c r="J130">
        <f t="shared" si="21"/>
        <v>5.6457674610652542E-2</v>
      </c>
      <c r="K130">
        <f t="shared" si="22"/>
        <v>0.10645767461065254</v>
      </c>
      <c r="L130">
        <f t="shared" si="23"/>
        <v>6.457674610652539E-3</v>
      </c>
      <c r="M130">
        <f t="shared" si="30"/>
        <v>7.3031300943281544E-2</v>
      </c>
      <c r="N130">
        <f t="shared" si="33"/>
        <v>6.457674610652539E-3</v>
      </c>
      <c r="O130">
        <f t="shared" si="24"/>
        <v>0.15901935868087286</v>
      </c>
      <c r="P130">
        <f t="shared" si="31"/>
        <v>1.1533837888309112E-3</v>
      </c>
      <c r="Q130">
        <f t="shared" si="32"/>
        <v>0.16207135127530675</v>
      </c>
    </row>
    <row r="131" spans="1:17" x14ac:dyDescent="0.45">
      <c r="A131">
        <v>0.62</v>
      </c>
      <c r="B131">
        <f t="shared" si="25"/>
        <v>1.6971318378392816E-3</v>
      </c>
      <c r="C131">
        <f t="shared" si="26"/>
        <v>0.15830286816216071</v>
      </c>
      <c r="D131">
        <f t="shared" si="27"/>
        <v>8.7547431509909526E-2</v>
      </c>
      <c r="E131">
        <f t="shared" si="18"/>
        <v>6.5137275956949528E-2</v>
      </c>
      <c r="F131">
        <f t="shared" si="19"/>
        <v>3.0908067976915872E-2</v>
      </c>
      <c r="G131">
        <f t="shared" si="20"/>
        <v>7.6581475870845753E-2</v>
      </c>
      <c r="H131">
        <f t="shared" si="28"/>
        <v>6.3452070899367746E-2</v>
      </c>
      <c r="I131">
        <f t="shared" si="29"/>
        <v>5.5178106349051619E-2</v>
      </c>
      <c r="J131">
        <f t="shared" si="21"/>
        <v>5.7705913935424291E-2</v>
      </c>
      <c r="K131">
        <f t="shared" si="22"/>
        <v>0.10770591393542429</v>
      </c>
      <c r="L131">
        <f t="shared" si="23"/>
        <v>7.7059139354242884E-3</v>
      </c>
      <c r="M131">
        <f t="shared" si="30"/>
        <v>7.3380828359747102E-2</v>
      </c>
      <c r="N131">
        <f t="shared" si="33"/>
        <v>7.7059139354242884E-3</v>
      </c>
      <c r="O131">
        <f t="shared" si="24"/>
        <v>0.15830286816216071</v>
      </c>
      <c r="P131">
        <f t="shared" si="31"/>
        <v>2.525712486817433E-3</v>
      </c>
      <c r="Q131">
        <f t="shared" si="32"/>
        <v>0.16127950679094918</v>
      </c>
    </row>
    <row r="132" spans="1:17" x14ac:dyDescent="0.45">
      <c r="A132">
        <v>0.625</v>
      </c>
      <c r="B132">
        <f t="shared" si="25"/>
        <v>2.3959321426135424E-3</v>
      </c>
      <c r="C132">
        <f t="shared" si="26"/>
        <v>0.15760406785738645</v>
      </c>
      <c r="D132">
        <f t="shared" si="27"/>
        <v>8.7361084761969729E-2</v>
      </c>
      <c r="E132">
        <f t="shared" si="18"/>
        <v>6.5948469701730891E-2</v>
      </c>
      <c r="F132">
        <f t="shared" si="19"/>
        <v>3.2581907097180507E-2</v>
      </c>
      <c r="G132">
        <f t="shared" si="20"/>
        <v>7.6862198908487125E-2</v>
      </c>
      <c r="H132">
        <f t="shared" si="28"/>
        <v>6.4305116407101695E-2</v>
      </c>
      <c r="I132">
        <f t="shared" si="29"/>
        <v>5.6457674610652542E-2</v>
      </c>
      <c r="J132">
        <f t="shared" si="21"/>
        <v>5.8922704552596336E-2</v>
      </c>
      <c r="K132">
        <f t="shared" si="22"/>
        <v>0.10892270455259634</v>
      </c>
      <c r="L132">
        <f t="shared" si="23"/>
        <v>8.9227045525963333E-3</v>
      </c>
      <c r="M132">
        <f t="shared" si="30"/>
        <v>7.3722046562840676E-2</v>
      </c>
      <c r="N132">
        <f t="shared" si="33"/>
        <v>8.9227045525963333E-3</v>
      </c>
      <c r="O132">
        <f t="shared" si="24"/>
        <v>0.15760406785738645</v>
      </c>
      <c r="P132">
        <f t="shared" si="31"/>
        <v>3.8673785373057601E-3</v>
      </c>
      <c r="Q132">
        <f t="shared" si="32"/>
        <v>0.16050721301657028</v>
      </c>
    </row>
    <row r="133" spans="1:17" x14ac:dyDescent="0.45">
      <c r="A133">
        <v>0.63</v>
      </c>
      <c r="B133">
        <f t="shared" si="25"/>
        <v>3.0774790063882868E-3</v>
      </c>
      <c r="C133">
        <f t="shared" si="26"/>
        <v>0.1569225209936117</v>
      </c>
      <c r="D133">
        <f t="shared" si="27"/>
        <v>8.7179338931629796E-2</v>
      </c>
      <c r="E133">
        <f t="shared" si="18"/>
        <v>6.6738649363743324E-2</v>
      </c>
      <c r="F133">
        <f t="shared" si="19"/>
        <v>3.4248969206502777E-2</v>
      </c>
      <c r="G133">
        <f t="shared" si="20"/>
        <v>7.7129548357995403E-2</v>
      </c>
      <c r="H133">
        <f t="shared" si="28"/>
        <v>6.5137275956949528E-2</v>
      </c>
      <c r="I133">
        <f t="shared" si="29"/>
        <v>5.7705913935424291E-2</v>
      </c>
      <c r="J133">
        <f t="shared" si="21"/>
        <v>6.0107974045614992E-2</v>
      </c>
      <c r="K133">
        <f t="shared" si="22"/>
        <v>0.110107974045615</v>
      </c>
      <c r="L133">
        <f t="shared" si="23"/>
        <v>1.010797404561499E-2</v>
      </c>
      <c r="M133">
        <f t="shared" si="30"/>
        <v>7.4054910382779809E-2</v>
      </c>
      <c r="N133">
        <f t="shared" si="33"/>
        <v>1.010797404561499E-2</v>
      </c>
      <c r="O133">
        <f t="shared" si="24"/>
        <v>0.1569225209936117</v>
      </c>
      <c r="P133">
        <f t="shared" si="31"/>
        <v>5.1781063490516158E-3</v>
      </c>
      <c r="Q133">
        <f t="shared" si="32"/>
        <v>0.15975398724342077</v>
      </c>
    </row>
    <row r="134" spans="1:17" x14ac:dyDescent="0.45">
      <c r="A134">
        <v>0.63500000000000001</v>
      </c>
      <c r="B134">
        <f t="shared" si="25"/>
        <v>3.7421984181396153E-3</v>
      </c>
      <c r="C134">
        <f t="shared" si="26"/>
        <v>0.15625780158186037</v>
      </c>
      <c r="D134">
        <f t="shared" si="27"/>
        <v>8.7002080421829442E-2</v>
      </c>
      <c r="E134">
        <f t="shared" si="18"/>
        <v>6.7507796758828231E-2</v>
      </c>
      <c r="F134">
        <f t="shared" si="19"/>
        <v>3.5907852712519645E-2</v>
      </c>
      <c r="G134">
        <f t="shared" si="20"/>
        <v>7.7383931148646376E-2</v>
      </c>
      <c r="H134">
        <f t="shared" si="28"/>
        <v>6.5948469701730891E-2</v>
      </c>
      <c r="I134">
        <f t="shared" si="29"/>
        <v>5.8922704552596336E-2</v>
      </c>
      <c r="J134">
        <f t="shared" si="21"/>
        <v>6.1261695138242339E-2</v>
      </c>
      <c r="K134">
        <f t="shared" si="22"/>
        <v>0.11126169513824234</v>
      </c>
      <c r="L134">
        <f t="shared" si="23"/>
        <v>1.1261695138242336E-2</v>
      </c>
      <c r="M134">
        <f t="shared" si="30"/>
        <v>7.4379387880692358E-2</v>
      </c>
      <c r="N134">
        <f t="shared" si="33"/>
        <v>1.1261695138242336E-2</v>
      </c>
      <c r="O134">
        <f t="shared" si="24"/>
        <v>0.15625780158186037</v>
      </c>
      <c r="P134">
        <f t="shared" si="31"/>
        <v>6.457674610652539E-3</v>
      </c>
      <c r="Q134">
        <f t="shared" si="32"/>
        <v>0.15901935868087286</v>
      </c>
    </row>
    <row r="135" spans="1:17" x14ac:dyDescent="0.45">
      <c r="A135">
        <v>0.64</v>
      </c>
      <c r="B135">
        <f t="shared" si="25"/>
        <v>4.390505849138332E-3</v>
      </c>
      <c r="C135">
        <f t="shared" si="26"/>
        <v>0.15560949415086167</v>
      </c>
      <c r="D135">
        <f t="shared" si="27"/>
        <v>8.682919844022978E-2</v>
      </c>
      <c r="E135">
        <f t="shared" ref="E135:E198" si="34">P0-SIGN(DeltaThetaDeg)*EXP(-Xi*Wn*A135)*(COS(Wd*A135)-(Xi*Wn-1)/(Wd)*SIN(Wd*A135))*Ppeak</f>
        <v>6.8255922352694759E-2</v>
      </c>
      <c r="F135">
        <f t="shared" ref="F135:F198" si="35">P0-SIGN(DeltaThetaDeg)*EXP(-Ximin*Wnmin*A135)*(COS(Wdmin*A135)-(Ximin*Wnmin-1)/(Wdmin)*SIN(Wdmin*A135))*Ppeak</f>
        <v>3.7557208087104589E-2</v>
      </c>
      <c r="G135">
        <f t="shared" ref="G135:G198" si="36">P0-SIGN(DeltaThetaDeg)*EXP(-Ximax*Wnmax*A135)*(COS(Wdmax*A135)-(Ximax*Wnmax-1)/(Wdmax)*SIN(Wdmax*A135))*Ppeak</f>
        <v>7.7625751264027487E-2</v>
      </c>
      <c r="H135">
        <f t="shared" si="28"/>
        <v>6.6738649363743324E-2</v>
      </c>
      <c r="I135">
        <f t="shared" si="29"/>
        <v>6.0107974045614992E-2</v>
      </c>
      <c r="J135">
        <f t="shared" ref="J135:J198" si="37">P0-SIGN(DeltaThetaDeg)*(1+Marge_haute)*EXP(-Xi*Wn*A135)*(COS(Wd*A135)-(Xi*Wn-1)/(Wd)*SIN(Wd*A135))*Ppeak</f>
        <v>6.2383883529042145E-2</v>
      </c>
      <c r="K135">
        <f t="shared" ref="K135:K198" si="38">J135-SIGN(DeltaThetaDeg)*Tunnel</f>
        <v>0.11238388352904215</v>
      </c>
      <c r="L135">
        <f t="shared" ref="L135:L198" si="39">J135+SIGN(DeltaThetaDeg)*Tunnel</f>
        <v>1.2383883529042142E-2</v>
      </c>
      <c r="M135">
        <f t="shared" si="30"/>
        <v>7.4695459745497336E-2</v>
      </c>
      <c r="N135">
        <f t="shared" si="33"/>
        <v>1.2383883529042142E-2</v>
      </c>
      <c r="O135">
        <f t="shared" ref="O135:O198" si="40">IF(SIGN(DeltaThetaDeg)=1,MIN(B135,$S$6-SIGN(DeltaThetaDeg)*$W$13,F135),MAX(G135,P0+Tunnel,C135))</f>
        <v>0.15560949415086167</v>
      </c>
      <c r="P135">
        <f t="shared" si="31"/>
        <v>7.7059139354242884E-3</v>
      </c>
      <c r="Q135">
        <f t="shared" si="32"/>
        <v>0.15830286816216071</v>
      </c>
    </row>
    <row r="136" spans="1:17" x14ac:dyDescent="0.45">
      <c r="A136">
        <v>0.64500000000000002</v>
      </c>
      <c r="B136">
        <f t="shared" si="25"/>
        <v>5.0228065126330032E-3</v>
      </c>
      <c r="C136">
        <f t="shared" si="26"/>
        <v>0.15497719348736699</v>
      </c>
      <c r="D136">
        <f t="shared" si="27"/>
        <v>8.6660584929964535E-2</v>
      </c>
      <c r="E136">
        <f t="shared" si="34"/>
        <v>6.8983063849834519E-2</v>
      </c>
      <c r="F136">
        <f t="shared" si="35"/>
        <v>3.9195737534088587E-2</v>
      </c>
      <c r="G136">
        <f t="shared" si="36"/>
        <v>7.7855409157709693E-2</v>
      </c>
      <c r="H136">
        <f t="shared" si="28"/>
        <v>6.7507796758828231E-2</v>
      </c>
      <c r="I136">
        <f t="shared" si="29"/>
        <v>6.1261695138242339E-2</v>
      </c>
      <c r="J136">
        <f t="shared" si="37"/>
        <v>6.3474595774751771E-2</v>
      </c>
      <c r="K136">
        <f t="shared" si="38"/>
        <v>0.11347459577475177</v>
      </c>
      <c r="L136">
        <f t="shared" si="39"/>
        <v>1.3474595774751769E-2</v>
      </c>
      <c r="M136">
        <f t="shared" si="30"/>
        <v>7.5003118703531296E-2</v>
      </c>
      <c r="N136">
        <f t="shared" si="33"/>
        <v>1.3474595774751769E-2</v>
      </c>
      <c r="O136">
        <f t="shared" si="40"/>
        <v>0.15497719348736699</v>
      </c>
      <c r="P136">
        <f t="shared" si="31"/>
        <v>8.9227045525963333E-3</v>
      </c>
      <c r="Q136">
        <f t="shared" si="32"/>
        <v>0.15760406785738645</v>
      </c>
    </row>
    <row r="137" spans="1:17" x14ac:dyDescent="0.45">
      <c r="A137">
        <v>0.65</v>
      </c>
      <c r="B137">
        <f t="shared" ref="B137:B200" si="41">P0-Ppeak*(1+Marge_haute)*EXP(-Sigma*A135)-Tunnel</f>
        <v>5.6394956171214594E-3</v>
      </c>
      <c r="C137">
        <f t="shared" ref="C137:C200" si="42">P0+Ppeak*(1+Marge_haute)*EXP(-Sigma*A135)+Tunnel</f>
        <v>0.15436050438287854</v>
      </c>
      <c r="D137">
        <f t="shared" ref="D137:D200" si="43">P0-SIGN(DeltaThetaDeg)*Marge_basse*Ppeak*EXP(-Sigma*A135)</f>
        <v>8.6496134502100946E-2</v>
      </c>
      <c r="E137">
        <f t="shared" si="34"/>
        <v>6.9689284815299582E-2</v>
      </c>
      <c r="F137">
        <f t="shared" si="35"/>
        <v>4.0822194617328389E-2</v>
      </c>
      <c r="G137">
        <f t="shared" si="36"/>
        <v>7.8073301216406057E-2</v>
      </c>
      <c r="H137">
        <f t="shared" ref="H137:H200" si="44">P0-SIGN(DeltaThetaDeg)*EXP(-Xi*Wn*A135)*(COS(Wd*A135)-(Xi*Wn-1)/(Wd)*SIN(Wd*A135))*Ppeak</f>
        <v>6.8255922352694759E-2</v>
      </c>
      <c r="I137">
        <f t="shared" ref="I137:I200" si="45">P0-SIGN(DeltaThetaDeg)*(1+Marge_haute)*EXP(-Xi*Wn*A135)*(COS(Wd*A135)-(Xi*Wn-1)/(Wd)*SIN(Wd*A135))*Ppeak</f>
        <v>6.2383883529042145E-2</v>
      </c>
      <c r="J137">
        <f t="shared" si="37"/>
        <v>6.4533927222949372E-2</v>
      </c>
      <c r="K137">
        <f t="shared" si="38"/>
        <v>0.11453392722294937</v>
      </c>
      <c r="L137">
        <f t="shared" si="39"/>
        <v>1.4533927222949369E-2</v>
      </c>
      <c r="M137">
        <f t="shared" ref="M137:M200" si="46">P0-SIGN(DeltaThetaDeg)*Marge_basse*EXP(-Xi*Wn*A135)*(COS(Wd*A135)-(Xi*Wn-1)/(Wd)*SIN(Wd*A135))*Ppeak</f>
        <v>7.5302368941077905E-2</v>
      </c>
      <c r="N137">
        <f t="shared" si="33"/>
        <v>1.4533927222949369E-2</v>
      </c>
      <c r="O137">
        <f t="shared" si="40"/>
        <v>0.15436050438287854</v>
      </c>
      <c r="P137">
        <f t="shared" si="31"/>
        <v>1.010797404561499E-2</v>
      </c>
      <c r="Q137">
        <f t="shared" si="32"/>
        <v>0.1569225209936117</v>
      </c>
    </row>
    <row r="138" spans="1:17" x14ac:dyDescent="0.45">
      <c r="A138">
        <v>0.65500000000000003</v>
      </c>
      <c r="B138">
        <f t="shared" si="41"/>
        <v>6.240958613368916E-3</v>
      </c>
      <c r="C138">
        <f t="shared" si="42"/>
        <v>0.1537590413866311</v>
      </c>
      <c r="D138">
        <f t="shared" si="43"/>
        <v>8.6335744369768291E-2</v>
      </c>
      <c r="E138">
        <f t="shared" si="34"/>
        <v>7.0374673329561113E-2</v>
      </c>
      <c r="F138">
        <f t="shared" si="35"/>
        <v>4.2435383850731631E-2</v>
      </c>
      <c r="G138">
        <f t="shared" si="36"/>
        <v>7.8279819268366621E-2</v>
      </c>
      <c r="H138">
        <f t="shared" si="44"/>
        <v>6.8983063849834519E-2</v>
      </c>
      <c r="I138">
        <f t="shared" si="45"/>
        <v>6.3474595774751771E-2</v>
      </c>
      <c r="J138">
        <f t="shared" si="37"/>
        <v>6.5562009994341669E-2</v>
      </c>
      <c r="K138">
        <f t="shared" si="38"/>
        <v>0.11556200999434167</v>
      </c>
      <c r="L138">
        <f t="shared" si="39"/>
        <v>1.5562009994341666E-2</v>
      </c>
      <c r="M138">
        <f t="shared" si="46"/>
        <v>7.5593225539933806E-2</v>
      </c>
      <c r="N138">
        <f t="shared" si="33"/>
        <v>1.5562009994341666E-2</v>
      </c>
      <c r="O138">
        <f t="shared" si="40"/>
        <v>0.1537590413866311</v>
      </c>
      <c r="P138">
        <f t="shared" si="31"/>
        <v>1.1261695138242336E-2</v>
      </c>
      <c r="Q138">
        <f t="shared" si="32"/>
        <v>0.15625780158186037</v>
      </c>
    </row>
    <row r="139" spans="1:17" x14ac:dyDescent="0.45">
      <c r="A139">
        <v>0.66</v>
      </c>
      <c r="B139">
        <f t="shared" si="41"/>
        <v>6.8275714353273204E-3</v>
      </c>
      <c r="C139">
        <f t="shared" si="42"/>
        <v>0.15317242856467267</v>
      </c>
      <c r="D139">
        <f t="shared" si="43"/>
        <v>8.617931428391272E-2</v>
      </c>
      <c r="E139">
        <f t="shared" si="34"/>
        <v>7.1039340676610122E-2</v>
      </c>
      <c r="F139">
        <f t="shared" si="35"/>
        <v>4.4034160251833675E-2</v>
      </c>
      <c r="G139">
        <f t="shared" si="36"/>
        <v>7.8475350134827093E-2</v>
      </c>
      <c r="H139">
        <f t="shared" si="44"/>
        <v>6.9689284815299582E-2</v>
      </c>
      <c r="I139">
        <f t="shared" si="45"/>
        <v>6.4533927222949372E-2</v>
      </c>
      <c r="J139">
        <f t="shared" si="37"/>
        <v>6.6559011014915181E-2</v>
      </c>
      <c r="K139">
        <f t="shared" si="38"/>
        <v>0.11655901101491518</v>
      </c>
      <c r="L139">
        <f t="shared" si="39"/>
        <v>1.6559011014915179E-2</v>
      </c>
      <c r="M139">
        <f t="shared" si="46"/>
        <v>7.5875713926119831E-2</v>
      </c>
      <c r="N139">
        <f t="shared" si="33"/>
        <v>1.6559011014915179E-2</v>
      </c>
      <c r="O139">
        <f t="shared" si="40"/>
        <v>0.15317242856467267</v>
      </c>
      <c r="P139">
        <f t="shared" ref="P139:P202" si="47">IF(EMT_simulation,N135,N139)</f>
        <v>1.2383883529042142E-2</v>
      </c>
      <c r="Q139">
        <f t="shared" ref="Q139:Q202" si="48">IF(EMT_simulation,O135,O139)</f>
        <v>0.15560949415086167</v>
      </c>
    </row>
    <row r="140" spans="1:17" x14ac:dyDescent="0.45">
      <c r="A140">
        <v>0.66500000000000004</v>
      </c>
      <c r="B140">
        <f t="shared" si="41"/>
        <v>7.3997007351062766E-3</v>
      </c>
      <c r="C140">
        <f t="shared" si="42"/>
        <v>0.15260029926489371</v>
      </c>
      <c r="D140">
        <f t="shared" si="43"/>
        <v>8.6026746470638335E-2</v>
      </c>
      <c r="E140">
        <f t="shared" si="34"/>
        <v>7.1683420065411396E-2</v>
      </c>
      <c r="F140">
        <f t="shared" si="35"/>
        <v>4.5617428860506876E-2</v>
      </c>
      <c r="G140">
        <f t="shared" si="36"/>
        <v>7.8660275222396533E-2</v>
      </c>
      <c r="H140">
        <f t="shared" si="44"/>
        <v>7.0374673329561113E-2</v>
      </c>
      <c r="I140">
        <f t="shared" si="45"/>
        <v>6.5562009994341669E-2</v>
      </c>
      <c r="J140">
        <f t="shared" si="37"/>
        <v>6.75251300981171E-2</v>
      </c>
      <c r="K140">
        <f t="shared" si="38"/>
        <v>0.1175251300981171</v>
      </c>
      <c r="L140">
        <f t="shared" si="39"/>
        <v>1.7525130098117098E-2</v>
      </c>
      <c r="M140">
        <f t="shared" si="46"/>
        <v>7.6149869331824452E-2</v>
      </c>
      <c r="N140">
        <f t="shared" si="33"/>
        <v>1.7525130098117098E-2</v>
      </c>
      <c r="O140">
        <f t="shared" si="40"/>
        <v>0.15260029926489371</v>
      </c>
      <c r="P140">
        <f t="shared" si="47"/>
        <v>1.3474595774751769E-2</v>
      </c>
      <c r="Q140">
        <f t="shared" si="48"/>
        <v>0.15497719348736699</v>
      </c>
    </row>
    <row r="141" spans="1:17" x14ac:dyDescent="0.45">
      <c r="A141">
        <v>0.67</v>
      </c>
      <c r="B141">
        <f t="shared" si="41"/>
        <v>7.9577041121425135E-3</v>
      </c>
      <c r="C141">
        <f t="shared" si="42"/>
        <v>0.1520422958878575</v>
      </c>
      <c r="D141">
        <f t="shared" si="43"/>
        <v>8.5877945570095329E-2</v>
      </c>
      <c r="E141">
        <f t="shared" si="34"/>
        <v>7.2307065384771441E-2</v>
      </c>
      <c r="F141">
        <f t="shared" si="35"/>
        <v>4.7184144224366287E-2</v>
      </c>
      <c r="G141">
        <f t="shared" si="36"/>
        <v>7.8834970154336007E-2</v>
      </c>
      <c r="H141">
        <f t="shared" si="44"/>
        <v>7.1039340676610122E-2</v>
      </c>
      <c r="I141">
        <f t="shared" si="45"/>
        <v>6.6559011014915181E-2</v>
      </c>
      <c r="J141">
        <f t="shared" si="37"/>
        <v>6.8460598077157167E-2</v>
      </c>
      <c r="K141">
        <f t="shared" si="38"/>
        <v>0.11846059807715717</v>
      </c>
      <c r="L141">
        <f t="shared" si="39"/>
        <v>1.8460598077157164E-2</v>
      </c>
      <c r="M141">
        <f t="shared" si="46"/>
        <v>7.6415736270644047E-2</v>
      </c>
      <c r="N141">
        <f t="shared" ref="N141:N204" si="49">IF(SIGN(DeltaThetaDeg)=1,MAX(D141:M141),MIN(F141:M141))</f>
        <v>1.8460598077157164E-2</v>
      </c>
      <c r="O141">
        <f t="shared" si="40"/>
        <v>0.1520422958878575</v>
      </c>
      <c r="P141">
        <f t="shared" si="47"/>
        <v>1.4533927222949369E-2</v>
      </c>
      <c r="Q141">
        <f t="shared" si="48"/>
        <v>0.15436050438287854</v>
      </c>
    </row>
    <row r="142" spans="1:17" x14ac:dyDescent="0.45">
      <c r="A142">
        <v>0.67500000000000004</v>
      </c>
      <c r="B142">
        <f t="shared" si="41"/>
        <v>8.5019303367112262E-3</v>
      </c>
      <c r="C142">
        <f t="shared" si="42"/>
        <v>0.15149806966328877</v>
      </c>
      <c r="D142">
        <f t="shared" si="43"/>
        <v>8.5732818576877007E-2</v>
      </c>
      <c r="E142">
        <f t="shared" si="34"/>
        <v>7.2910449991634319E-2</v>
      </c>
      <c r="F142">
        <f t="shared" si="35"/>
        <v>4.8733309852419616E-2</v>
      </c>
      <c r="G142">
        <f t="shared" si="36"/>
        <v>7.8999804438746574E-2</v>
      </c>
      <c r="H142">
        <f t="shared" si="44"/>
        <v>7.1683420065411396E-2</v>
      </c>
      <c r="I142">
        <f t="shared" si="45"/>
        <v>6.75251300981171E-2</v>
      </c>
      <c r="J142">
        <f t="shared" si="37"/>
        <v>6.936567498745147E-2</v>
      </c>
      <c r="K142">
        <f t="shared" si="38"/>
        <v>0.11936567498745147</v>
      </c>
      <c r="L142">
        <f t="shared" si="39"/>
        <v>1.9365674987451467E-2</v>
      </c>
      <c r="M142">
        <f t="shared" si="46"/>
        <v>7.6673368026164562E-2</v>
      </c>
      <c r="N142">
        <f t="shared" si="49"/>
        <v>1.9365674987451467E-2</v>
      </c>
      <c r="O142">
        <f t="shared" si="40"/>
        <v>0.15149806966328877</v>
      </c>
      <c r="P142">
        <f t="shared" si="47"/>
        <v>1.5562009994341666E-2</v>
      </c>
      <c r="Q142">
        <f t="shared" si="48"/>
        <v>0.1537590413866311</v>
      </c>
    </row>
    <row r="143" spans="1:17" x14ac:dyDescent="0.45">
      <c r="A143">
        <v>0.68</v>
      </c>
      <c r="B143">
        <f t="shared" si="41"/>
        <v>9.0327195679188593E-3</v>
      </c>
      <c r="C143">
        <f t="shared" si="42"/>
        <v>0.15096728043208113</v>
      </c>
      <c r="D143">
        <f t="shared" si="43"/>
        <v>8.5591274781888313E-2</v>
      </c>
      <c r="E143">
        <f t="shared" si="34"/>
        <v>7.3493765532774674E-2</v>
      </c>
      <c r="F143">
        <f t="shared" si="35"/>
        <v>5.0263977638490318E-2</v>
      </c>
      <c r="G143">
        <f t="shared" si="36"/>
        <v>7.9155141171750668E-2</v>
      </c>
      <c r="H143">
        <f t="shared" si="44"/>
        <v>7.2307065384771441E-2</v>
      </c>
      <c r="I143">
        <f t="shared" si="45"/>
        <v>6.8460598077157167E-2</v>
      </c>
      <c r="J143">
        <f t="shared" si="37"/>
        <v>7.0240648299162017E-2</v>
      </c>
      <c r="K143">
        <f t="shared" si="38"/>
        <v>0.12024064829916202</v>
      </c>
      <c r="L143">
        <f t="shared" si="39"/>
        <v>2.0240648299162015E-2</v>
      </c>
      <c r="M143">
        <f t="shared" si="46"/>
        <v>7.692282615390858E-2</v>
      </c>
      <c r="N143">
        <f t="shared" si="49"/>
        <v>2.0240648299162015E-2</v>
      </c>
      <c r="O143">
        <f t="shared" si="40"/>
        <v>0.15096728043208113</v>
      </c>
      <c r="P143">
        <f t="shared" si="47"/>
        <v>1.6559011014915179E-2</v>
      </c>
      <c r="Q143">
        <f t="shared" si="48"/>
        <v>0.15317242856467267</v>
      </c>
    </row>
    <row r="144" spans="1:17" x14ac:dyDescent="0.45">
      <c r="A144">
        <v>0.68500000000000005</v>
      </c>
      <c r="B144">
        <f t="shared" si="41"/>
        <v>9.5504035663135645E-3</v>
      </c>
      <c r="C144">
        <f t="shared" si="42"/>
        <v>0.15044959643368644</v>
      </c>
      <c r="D144">
        <f t="shared" si="43"/>
        <v>8.5453225715649714E-2</v>
      </c>
      <c r="E144">
        <f t="shared" si="34"/>
        <v>7.4057220799814708E-2</v>
      </c>
      <c r="F144">
        <f t="shared" si="35"/>
        <v>5.1775247255924875E-2</v>
      </c>
      <c r="G144">
        <f t="shared" si="36"/>
        <v>7.9301336773815484E-2</v>
      </c>
      <c r="H144">
        <f t="shared" si="44"/>
        <v>7.2910449991634319E-2</v>
      </c>
      <c r="I144">
        <f t="shared" si="45"/>
        <v>6.936567498745147E-2</v>
      </c>
      <c r="J144">
        <f t="shared" si="37"/>
        <v>7.1085831199722074E-2</v>
      </c>
      <c r="K144">
        <f t="shared" si="38"/>
        <v>0.12108583119972208</v>
      </c>
      <c r="L144">
        <f t="shared" si="39"/>
        <v>2.1085831199722072E-2</v>
      </c>
      <c r="M144">
        <f t="shared" si="46"/>
        <v>7.7164179996653731E-2</v>
      </c>
      <c r="N144">
        <f t="shared" si="49"/>
        <v>2.1085831199722072E-2</v>
      </c>
      <c r="O144">
        <f t="shared" si="40"/>
        <v>0.15044959643368644</v>
      </c>
      <c r="P144">
        <f t="shared" si="47"/>
        <v>1.7525130098117098E-2</v>
      </c>
      <c r="Q144">
        <f t="shared" si="48"/>
        <v>0.15260029926489371</v>
      </c>
    </row>
    <row r="145" spans="1:17" x14ac:dyDescent="0.45">
      <c r="A145">
        <v>0.69</v>
      </c>
      <c r="B145">
        <f t="shared" si="41"/>
        <v>1.0055305901246384E-2</v>
      </c>
      <c r="C145">
        <f t="shared" si="42"/>
        <v>0.14994469409875361</v>
      </c>
      <c r="D145">
        <f t="shared" si="43"/>
        <v>8.531858509300097E-2</v>
      </c>
      <c r="E145">
        <f t="shared" si="34"/>
        <v>7.4601040617450806E-2</v>
      </c>
      <c r="F145">
        <f t="shared" si="35"/>
        <v>5.3266265525074519E-2</v>
      </c>
      <c r="G145">
        <f t="shared" si="36"/>
        <v>7.9438740757431001E-2</v>
      </c>
      <c r="H145">
        <f t="shared" si="44"/>
        <v>7.3493765532774674E-2</v>
      </c>
      <c r="I145">
        <f t="shared" si="45"/>
        <v>7.0240648299162017E-2</v>
      </c>
      <c r="J145">
        <f t="shared" si="37"/>
        <v>7.1901560926176208E-2</v>
      </c>
      <c r="K145">
        <f t="shared" si="38"/>
        <v>0.12190156092617621</v>
      </c>
      <c r="L145">
        <f t="shared" si="39"/>
        <v>2.1901560926176206E-2</v>
      </c>
      <c r="M145">
        <f t="shared" si="46"/>
        <v>7.7397506213109868E-2</v>
      </c>
      <c r="N145">
        <f t="shared" si="49"/>
        <v>2.1901560926176206E-2</v>
      </c>
      <c r="O145">
        <f t="shared" si="40"/>
        <v>0.14994469409875361</v>
      </c>
      <c r="P145">
        <f t="shared" si="47"/>
        <v>1.8460598077157164E-2</v>
      </c>
      <c r="Q145">
        <f t="shared" si="48"/>
        <v>0.1520422958878575</v>
      </c>
    </row>
    <row r="146" spans="1:17" x14ac:dyDescent="0.45">
      <c r="A146">
        <v>0.69499999999999995</v>
      </c>
      <c r="B146">
        <f t="shared" si="41"/>
        <v>1.0547742153112598E-2</v>
      </c>
      <c r="C146">
        <f t="shared" si="42"/>
        <v>0.14945225784688743</v>
      </c>
      <c r="D146">
        <f t="shared" si="43"/>
        <v>8.5187268759169973E-2</v>
      </c>
      <c r="E146">
        <f t="shared" si="34"/>
        <v>7.5125464764738248E-2</v>
      </c>
      <c r="F146">
        <f t="shared" si="35"/>
        <v>5.4736225755022128E-2</v>
      </c>
      <c r="G146">
        <f t="shared" si="36"/>
        <v>7.9567695524418197E-2</v>
      </c>
      <c r="H146">
        <f t="shared" si="44"/>
        <v>7.4057220799814708E-2</v>
      </c>
      <c r="I146">
        <f t="shared" si="45"/>
        <v>7.1085831199722074E-2</v>
      </c>
      <c r="J146">
        <f t="shared" si="37"/>
        <v>7.2688197147107364E-2</v>
      </c>
      <c r="K146">
        <f t="shared" si="38"/>
        <v>0.12268819714710737</v>
      </c>
      <c r="L146">
        <f t="shared" si="39"/>
        <v>2.2688197147107361E-2</v>
      </c>
      <c r="M146">
        <f t="shared" si="46"/>
        <v>7.7622888319925892E-2</v>
      </c>
      <c r="N146">
        <f t="shared" si="49"/>
        <v>2.2688197147107361E-2</v>
      </c>
      <c r="O146">
        <f t="shared" si="40"/>
        <v>0.14945225784688743</v>
      </c>
      <c r="P146">
        <f t="shared" si="47"/>
        <v>1.9365674987451467E-2</v>
      </c>
      <c r="Q146">
        <f t="shared" si="48"/>
        <v>0.15149806966328877</v>
      </c>
    </row>
    <row r="147" spans="1:17" x14ac:dyDescent="0.45">
      <c r="A147">
        <v>0.7</v>
      </c>
      <c r="B147">
        <f t="shared" si="41"/>
        <v>1.1028020110599793E-2</v>
      </c>
      <c r="C147">
        <f t="shared" si="42"/>
        <v>0.1489719798894002</v>
      </c>
      <c r="D147">
        <f t="shared" si="43"/>
        <v>8.5059194637173388E-2</v>
      </c>
      <c r="E147">
        <f t="shared" si="34"/>
        <v>7.5630746929245277E-2</v>
      </c>
      <c r="F147">
        <f t="shared" si="35"/>
        <v>5.618436706100248E-2</v>
      </c>
      <c r="G147">
        <f t="shared" si="36"/>
        <v>7.968853619120489E-2</v>
      </c>
      <c r="H147">
        <f t="shared" si="44"/>
        <v>7.4601040617450806E-2</v>
      </c>
      <c r="I147">
        <f t="shared" si="45"/>
        <v>7.1901560926176208E-2</v>
      </c>
      <c r="J147">
        <f t="shared" si="37"/>
        <v>7.34461203938679E-2</v>
      </c>
      <c r="K147">
        <f t="shared" si="38"/>
        <v>0.1234461203938679</v>
      </c>
      <c r="L147">
        <f t="shared" si="39"/>
        <v>2.3446120393867897E-2</v>
      </c>
      <c r="M147">
        <f t="shared" si="46"/>
        <v>7.7840416246980321E-2</v>
      </c>
      <c r="N147">
        <f t="shared" si="49"/>
        <v>2.3446120393867897E-2</v>
      </c>
      <c r="O147">
        <f t="shared" si="40"/>
        <v>0.1489719798894002</v>
      </c>
      <c r="P147">
        <f t="shared" si="47"/>
        <v>2.0240648299162015E-2</v>
      </c>
      <c r="Q147">
        <f t="shared" si="48"/>
        <v>0.15096728043208113</v>
      </c>
    </row>
    <row r="148" spans="1:17" x14ac:dyDescent="0.45">
      <c r="A148">
        <v>0.70499999999999996</v>
      </c>
      <c r="B148">
        <f t="shared" si="41"/>
        <v>1.1496439963065791E-2</v>
      </c>
      <c r="C148">
        <f t="shared" si="42"/>
        <v>0.14850356003693421</v>
      </c>
      <c r="D148">
        <f t="shared" si="43"/>
        <v>8.4934282676515788E-2</v>
      </c>
      <c r="E148">
        <f t="shared" si="34"/>
        <v>7.6117153693854259E-2</v>
      </c>
      <c r="F148">
        <f t="shared" si="35"/>
        <v>5.7609973658943277E-2</v>
      </c>
      <c r="G148">
        <f t="shared" si="36"/>
        <v>7.9801590440467626E-2</v>
      </c>
      <c r="H148">
        <f t="shared" si="44"/>
        <v>7.5125464764738248E-2</v>
      </c>
      <c r="I148">
        <f t="shared" si="45"/>
        <v>7.2688197147107364E-2</v>
      </c>
      <c r="J148">
        <f t="shared" si="37"/>
        <v>7.4175730540781387E-2</v>
      </c>
      <c r="K148">
        <f t="shared" si="38"/>
        <v>0.12417573054078139</v>
      </c>
      <c r="L148">
        <f t="shared" si="39"/>
        <v>2.4175730540781384E-2</v>
      </c>
      <c r="M148">
        <f t="shared" si="46"/>
        <v>7.8050185905895297E-2</v>
      </c>
      <c r="N148">
        <f t="shared" si="49"/>
        <v>2.4175730540781384E-2</v>
      </c>
      <c r="O148">
        <f t="shared" si="40"/>
        <v>0.14850356003693421</v>
      </c>
      <c r="P148">
        <f t="shared" si="47"/>
        <v>2.1085831199722072E-2</v>
      </c>
      <c r="Q148">
        <f t="shared" si="48"/>
        <v>0.15044959643368644</v>
      </c>
    </row>
    <row r="149" spans="1:17" x14ac:dyDescent="0.45">
      <c r="A149">
        <v>0.71</v>
      </c>
      <c r="B149">
        <f t="shared" si="41"/>
        <v>1.1953294488166732E-2</v>
      </c>
      <c r="C149">
        <f t="shared" si="42"/>
        <v>0.14804670551183327</v>
      </c>
      <c r="D149">
        <f t="shared" si="43"/>
        <v>8.4812454803155538E-2</v>
      </c>
      <c r="E149">
        <f t="shared" si="34"/>
        <v>7.658496355595501E-2</v>
      </c>
      <c r="F149">
        <f t="shared" si="35"/>
        <v>5.9012374138530534E-2</v>
      </c>
      <c r="G149">
        <f t="shared" si="36"/>
        <v>7.9907178397597589E-2</v>
      </c>
      <c r="H149">
        <f t="shared" si="44"/>
        <v>7.5630746929245277E-2</v>
      </c>
      <c r="I149">
        <f t="shared" si="45"/>
        <v>7.34461203938679E-2</v>
      </c>
      <c r="J149">
        <f t="shared" si="37"/>
        <v>7.4877445333932507E-2</v>
      </c>
      <c r="K149">
        <f t="shared" si="38"/>
        <v>0.12487744533393251</v>
      </c>
      <c r="L149">
        <f t="shared" si="39"/>
        <v>2.4877445333932505E-2</v>
      </c>
      <c r="M149">
        <f t="shared" si="46"/>
        <v>7.8252298771698106E-2</v>
      </c>
      <c r="N149">
        <f t="shared" si="49"/>
        <v>2.4877445333932505E-2</v>
      </c>
      <c r="O149">
        <f t="shared" si="40"/>
        <v>0.14804670551183327</v>
      </c>
      <c r="P149">
        <f t="shared" si="47"/>
        <v>2.1901560926176206E-2</v>
      </c>
      <c r="Q149">
        <f t="shared" si="48"/>
        <v>0.14994469409875361</v>
      </c>
    </row>
    <row r="150" spans="1:17" x14ac:dyDescent="0.45">
      <c r="A150">
        <v>0.71499999999999997</v>
      </c>
      <c r="B150">
        <f t="shared" si="41"/>
        <v>1.2398869234852665E-2</v>
      </c>
      <c r="C150">
        <f t="shared" si="42"/>
        <v>0.14760113076514736</v>
      </c>
      <c r="D150">
        <f t="shared" si="43"/>
        <v>8.4693634870705956E-2</v>
      </c>
      <c r="E150">
        <f t="shared" si="34"/>
        <v>7.7034465978745234E-2</v>
      </c>
      <c r="F150">
        <f t="shared" si="35"/>
        <v>6.0390940716179065E-2</v>
      </c>
      <c r="G150">
        <f t="shared" si="36"/>
        <v>8.0005612530507433E-2</v>
      </c>
      <c r="H150">
        <f t="shared" si="44"/>
        <v>7.6117153693854259E-2</v>
      </c>
      <c r="I150">
        <f t="shared" si="45"/>
        <v>7.4175730540781387E-2</v>
      </c>
      <c r="J150">
        <f t="shared" si="37"/>
        <v>7.5551698968117836E-2</v>
      </c>
      <c r="K150">
        <f t="shared" si="38"/>
        <v>0.12555169896811785</v>
      </c>
      <c r="L150">
        <f t="shared" si="39"/>
        <v>2.5551698968117834E-2</v>
      </c>
      <c r="M150">
        <f t="shared" si="46"/>
        <v>7.8446861477541707E-2</v>
      </c>
      <c r="N150">
        <f t="shared" si="49"/>
        <v>2.5551698968117834E-2</v>
      </c>
      <c r="O150">
        <f t="shared" si="40"/>
        <v>0.14760113076514736</v>
      </c>
      <c r="P150">
        <f t="shared" si="47"/>
        <v>2.2688197147107361E-2</v>
      </c>
      <c r="Q150">
        <f t="shared" si="48"/>
        <v>0.14945225784688743</v>
      </c>
    </row>
    <row r="151" spans="1:17" x14ac:dyDescent="0.45">
      <c r="A151">
        <v>0.72</v>
      </c>
      <c r="B151">
        <f t="shared" si="41"/>
        <v>1.2833442701844971E-2</v>
      </c>
      <c r="C151">
        <f t="shared" si="42"/>
        <v>0.14716655729815503</v>
      </c>
      <c r="D151">
        <f t="shared" si="43"/>
        <v>8.4577748612841341E-2</v>
      </c>
      <c r="E151">
        <f t="shared" si="34"/>
        <v>7.7465960474324497E-2</v>
      </c>
      <c r="F151">
        <f t="shared" si="35"/>
        <v>6.1745088469264499E-2</v>
      </c>
      <c r="G151">
        <f t="shared" si="36"/>
        <v>8.0097197571353085E-2</v>
      </c>
      <c r="H151">
        <f t="shared" si="44"/>
        <v>7.658496355595501E-2</v>
      </c>
      <c r="I151">
        <f t="shared" si="45"/>
        <v>7.4877445333932507E-2</v>
      </c>
      <c r="J151">
        <f t="shared" si="37"/>
        <v>7.6198940711486751E-2</v>
      </c>
      <c r="K151">
        <f t="shared" si="38"/>
        <v>0.12619894071148674</v>
      </c>
      <c r="L151">
        <f t="shared" si="39"/>
        <v>2.6198940711486748E-2</v>
      </c>
      <c r="M151">
        <f t="shared" si="46"/>
        <v>7.8633985422382008E-2</v>
      </c>
      <c r="N151">
        <f t="shared" si="49"/>
        <v>2.6198940711486748E-2</v>
      </c>
      <c r="O151">
        <f t="shared" si="40"/>
        <v>0.14716655729815503</v>
      </c>
      <c r="P151">
        <f t="shared" si="47"/>
        <v>2.3446120393867897E-2</v>
      </c>
      <c r="Q151">
        <f t="shared" si="48"/>
        <v>0.1489719798894002</v>
      </c>
    </row>
    <row r="152" spans="1:17" x14ac:dyDescent="0.45">
      <c r="A152">
        <v>0.72499999999999998</v>
      </c>
      <c r="B152">
        <f t="shared" si="41"/>
        <v>1.3257286511707086E-2</v>
      </c>
      <c r="C152">
        <f t="shared" si="42"/>
        <v>0.14674271348829293</v>
      </c>
      <c r="D152">
        <f t="shared" si="43"/>
        <v>8.4464723596878108E-2</v>
      </c>
      <c r="E152">
        <f t="shared" si="34"/>
        <v>7.7879755718241558E-2</v>
      </c>
      <c r="F152">
        <f t="shared" si="35"/>
        <v>6.3074274552949061E-2</v>
      </c>
      <c r="G152">
        <f t="shared" si="36"/>
        <v>8.0182230458801199E-2</v>
      </c>
      <c r="H152">
        <f t="shared" si="44"/>
        <v>7.7034465978745234E-2</v>
      </c>
      <c r="I152">
        <f t="shared" si="45"/>
        <v>7.5551698968117836E-2</v>
      </c>
      <c r="J152">
        <f t="shared" si="37"/>
        <v>7.6819633577362337E-2</v>
      </c>
      <c r="K152">
        <f t="shared" si="38"/>
        <v>0.12681963357736234</v>
      </c>
      <c r="L152">
        <f t="shared" si="39"/>
        <v>2.6819633577362334E-2</v>
      </c>
      <c r="M152">
        <f t="shared" si="46"/>
        <v>7.8813786391498095E-2</v>
      </c>
      <c r="N152">
        <f t="shared" si="49"/>
        <v>2.6819633577362334E-2</v>
      </c>
      <c r="O152">
        <f t="shared" si="40"/>
        <v>0.14674271348829293</v>
      </c>
      <c r="P152">
        <f t="shared" si="47"/>
        <v>2.4175730540781384E-2</v>
      </c>
      <c r="Q152">
        <f t="shared" si="48"/>
        <v>0.14850356003693421</v>
      </c>
    </row>
    <row r="153" spans="1:17" x14ac:dyDescent="0.45">
      <c r="A153">
        <v>0.73</v>
      </c>
      <c r="B153">
        <f t="shared" si="41"/>
        <v>1.3670665580617455E-2</v>
      </c>
      <c r="C153">
        <f t="shared" si="42"/>
        <v>0.14632933441938256</v>
      </c>
      <c r="D153">
        <f t="shared" si="43"/>
        <v>8.435448917850201E-2</v>
      </c>
      <c r="E153">
        <f t="shared" si="34"/>
        <v>7.8276168695129655E-2</v>
      </c>
      <c r="F153">
        <f t="shared" si="35"/>
        <v>6.4377997400907702E-2</v>
      </c>
      <c r="G153">
        <f t="shared" si="36"/>
        <v>8.0261000299527416E-2</v>
      </c>
      <c r="H153">
        <f t="shared" si="44"/>
        <v>7.7465960474324497E-2</v>
      </c>
      <c r="I153">
        <f t="shared" si="45"/>
        <v>7.6198940711486751E-2</v>
      </c>
      <c r="J153">
        <f t="shared" si="37"/>
        <v>7.7414253042694489E-2</v>
      </c>
      <c r="K153">
        <f t="shared" si="38"/>
        <v>0.12741425304269449</v>
      </c>
      <c r="L153">
        <f t="shared" si="39"/>
        <v>2.7414253042694486E-2</v>
      </c>
      <c r="M153">
        <f t="shared" si="46"/>
        <v>7.8986384189729794E-2</v>
      </c>
      <c r="N153">
        <f t="shared" si="49"/>
        <v>2.7414253042694486E-2</v>
      </c>
      <c r="O153">
        <f t="shared" si="40"/>
        <v>0.14632933441938256</v>
      </c>
      <c r="P153">
        <f t="shared" si="47"/>
        <v>2.4877445333932505E-2</v>
      </c>
      <c r="Q153">
        <f t="shared" si="48"/>
        <v>0.14804670551183327</v>
      </c>
    </row>
    <row r="154" spans="1:17" x14ac:dyDescent="0.45">
      <c r="A154">
        <v>0.73499999999999999</v>
      </c>
      <c r="B154">
        <f t="shared" si="41"/>
        <v>1.4073838283950799E-2</v>
      </c>
      <c r="C154">
        <f t="shared" si="42"/>
        <v>0.14592616171604922</v>
      </c>
      <c r="D154">
        <f t="shared" si="43"/>
        <v>8.4246976457613129E-2</v>
      </c>
      <c r="E154">
        <f t="shared" si="34"/>
        <v>7.8655523875041655E-2</v>
      </c>
      <c r="F154">
        <f t="shared" si="35"/>
        <v>6.5655795911236381E-2</v>
      </c>
      <c r="G154">
        <f t="shared" si="36"/>
        <v>8.0333788347684967E-2</v>
      </c>
      <c r="H154">
        <f t="shared" si="44"/>
        <v>7.7879755718241558E-2</v>
      </c>
      <c r="I154">
        <f t="shared" si="45"/>
        <v>7.6819633577362337E-2</v>
      </c>
      <c r="J154">
        <f t="shared" si="37"/>
        <v>7.7983285812562475E-2</v>
      </c>
      <c r="K154">
        <f t="shared" si="38"/>
        <v>0.12798328581256246</v>
      </c>
      <c r="L154">
        <f t="shared" si="39"/>
        <v>2.7983285812562472E-2</v>
      </c>
      <c r="M154">
        <f t="shared" si="46"/>
        <v>7.9151902287296627E-2</v>
      </c>
      <c r="N154">
        <f t="shared" si="49"/>
        <v>2.7983285812562472E-2</v>
      </c>
      <c r="O154">
        <f t="shared" si="40"/>
        <v>0.14592616171604922</v>
      </c>
      <c r="P154">
        <f t="shared" si="47"/>
        <v>2.5551698968117834E-2</v>
      </c>
      <c r="Q154">
        <f t="shared" si="48"/>
        <v>0.14760113076514736</v>
      </c>
    </row>
    <row r="155" spans="1:17" x14ac:dyDescent="0.45">
      <c r="A155">
        <v>0.74</v>
      </c>
      <c r="B155">
        <f t="shared" si="41"/>
        <v>1.4467056617771049E-2</v>
      </c>
      <c r="C155">
        <f t="shared" si="42"/>
        <v>0.14553294338222894</v>
      </c>
      <c r="D155">
        <f t="shared" si="43"/>
        <v>8.4142118235261062E-2</v>
      </c>
      <c r="E155">
        <f t="shared" si="34"/>
        <v>7.9018152420074719E-2</v>
      </c>
      <c r="F155">
        <f t="shared" si="35"/>
        <v>6.690724861879728E-2</v>
      </c>
      <c r="G155">
        <f t="shared" si="36"/>
        <v>8.040086800113519E-2</v>
      </c>
      <c r="H155">
        <f t="shared" si="44"/>
        <v>7.8276168695129655E-2</v>
      </c>
      <c r="I155">
        <f t="shared" si="45"/>
        <v>7.7414253042694489E-2</v>
      </c>
      <c r="J155">
        <f t="shared" si="37"/>
        <v>7.8527228630112078E-2</v>
      </c>
      <c r="K155">
        <f t="shared" si="38"/>
        <v>0.12852722863011207</v>
      </c>
      <c r="L155">
        <f t="shared" si="39"/>
        <v>2.8527228630112075E-2</v>
      </c>
      <c r="M155">
        <f t="shared" si="46"/>
        <v>7.9310467478051871E-2</v>
      </c>
      <c r="N155">
        <f t="shared" si="49"/>
        <v>2.8527228630112075E-2</v>
      </c>
      <c r="O155">
        <f t="shared" si="40"/>
        <v>0.14553294338222894</v>
      </c>
      <c r="P155">
        <f t="shared" si="47"/>
        <v>2.6198940711486748E-2</v>
      </c>
      <c r="Q155">
        <f t="shared" si="48"/>
        <v>0.14716655729815503</v>
      </c>
    </row>
    <row r="156" spans="1:17" x14ac:dyDescent="0.45">
      <c r="A156">
        <v>0.745</v>
      </c>
      <c r="B156">
        <f t="shared" si="41"/>
        <v>1.4850566356337205E-2</v>
      </c>
      <c r="C156">
        <f t="shared" si="42"/>
        <v>0.14514943364366278</v>
      </c>
      <c r="D156">
        <f t="shared" si="43"/>
        <v>8.4039848971643419E-2</v>
      </c>
      <c r="E156">
        <f t="shared" si="34"/>
        <v>7.9364391420854941E-2</v>
      </c>
      <c r="F156">
        <f t="shared" si="35"/>
        <v>6.8131972855230441E-2</v>
      </c>
      <c r="G156">
        <f t="shared" si="36"/>
        <v>8.0462504813282876E-2</v>
      </c>
      <c r="H156">
        <f t="shared" si="44"/>
        <v>7.8655523875041655E-2</v>
      </c>
      <c r="I156">
        <f t="shared" si="45"/>
        <v>7.7983285812562475E-2</v>
      </c>
      <c r="J156">
        <f t="shared" si="37"/>
        <v>7.9046587131282417E-2</v>
      </c>
      <c r="K156">
        <f t="shared" si="38"/>
        <v>0.12904658713128242</v>
      </c>
      <c r="L156">
        <f t="shared" si="39"/>
        <v>2.9046587131282414E-2</v>
      </c>
      <c r="M156">
        <f t="shared" si="46"/>
        <v>7.9462209550016663E-2</v>
      </c>
      <c r="N156">
        <f t="shared" si="49"/>
        <v>2.9046587131282414E-2</v>
      </c>
      <c r="O156">
        <f t="shared" si="40"/>
        <v>0.14514943364366278</v>
      </c>
      <c r="P156">
        <f t="shared" si="47"/>
        <v>2.6819633577362334E-2</v>
      </c>
      <c r="Q156">
        <f t="shared" si="48"/>
        <v>0.14674271348829293</v>
      </c>
    </row>
    <row r="157" spans="1:17" x14ac:dyDescent="0.45">
      <c r="A157">
        <v>0.75</v>
      </c>
      <c r="B157">
        <f t="shared" si="41"/>
        <v>1.5224607205720178E-2</v>
      </c>
      <c r="C157">
        <f t="shared" si="42"/>
        <v>0.14477539279427981</v>
      </c>
      <c r="D157">
        <f t="shared" si="43"/>
        <v>8.3940104745141284E-2</v>
      </c>
      <c r="E157">
        <f t="shared" si="34"/>
        <v>7.969458316243308E-2</v>
      </c>
      <c r="F157">
        <f t="shared" si="35"/>
        <v>6.9329623897833786E-2</v>
      </c>
      <c r="G157">
        <f t="shared" si="36"/>
        <v>8.051895651940931E-2</v>
      </c>
      <c r="H157">
        <f t="shared" si="44"/>
        <v>7.9018152420074719E-2</v>
      </c>
      <c r="I157">
        <f t="shared" si="45"/>
        <v>7.8527228630112078E-2</v>
      </c>
      <c r="J157">
        <f t="shared" si="37"/>
        <v>7.9541874743649627E-2</v>
      </c>
      <c r="K157">
        <f t="shared" si="38"/>
        <v>0.12954187474364964</v>
      </c>
      <c r="L157">
        <f t="shared" si="39"/>
        <v>2.9541874743649624E-2</v>
      </c>
      <c r="M157">
        <f t="shared" si="46"/>
        <v>7.9607260968029891E-2</v>
      </c>
      <c r="N157">
        <f t="shared" si="49"/>
        <v>2.9541874743649624E-2</v>
      </c>
      <c r="O157">
        <f t="shared" si="40"/>
        <v>0.14477539279427981</v>
      </c>
      <c r="P157">
        <f t="shared" si="47"/>
        <v>2.7414253042694486E-2</v>
      </c>
      <c r="Q157">
        <f t="shared" si="48"/>
        <v>0.14632933441938256</v>
      </c>
    </row>
    <row r="158" spans="1:17" x14ac:dyDescent="0.45">
      <c r="A158">
        <v>0.755</v>
      </c>
      <c r="B158">
        <f t="shared" si="41"/>
        <v>1.5589412953626883E-2</v>
      </c>
      <c r="C158">
        <f t="shared" si="42"/>
        <v>0.14441058704637311</v>
      </c>
      <c r="D158">
        <f t="shared" si="43"/>
        <v>8.3842823212366163E-2</v>
      </c>
      <c r="E158">
        <f t="shared" si="34"/>
        <v>8.000907441912633E-2</v>
      </c>
      <c r="F158">
        <f t="shared" si="35"/>
        <v>7.0499894108486422E-2</v>
      </c>
      <c r="G158">
        <f t="shared" si="36"/>
        <v>8.0570473076444465E-2</v>
      </c>
      <c r="H158">
        <f t="shared" si="44"/>
        <v>7.9364391420854941E-2</v>
      </c>
      <c r="I158">
        <f t="shared" si="45"/>
        <v>7.9046587131282417E-2</v>
      </c>
      <c r="J158">
        <f t="shared" si="37"/>
        <v>8.0013611628689488E-2</v>
      </c>
      <c r="K158">
        <f t="shared" si="38"/>
        <v>0.13001361162868949</v>
      </c>
      <c r="L158">
        <f t="shared" si="39"/>
        <v>3.0013611628689485E-2</v>
      </c>
      <c r="M158">
        <f t="shared" si="46"/>
        <v>7.9745756568341972E-2</v>
      </c>
      <c r="N158">
        <f t="shared" si="49"/>
        <v>3.0013611628689485E-2</v>
      </c>
      <c r="O158">
        <f t="shared" si="40"/>
        <v>0.14441058704637311</v>
      </c>
      <c r="P158">
        <f t="shared" si="47"/>
        <v>2.7983285812562472E-2</v>
      </c>
      <c r="Q158">
        <f t="shared" si="48"/>
        <v>0.14592616171604922</v>
      </c>
    </row>
    <row r="159" spans="1:17" x14ac:dyDescent="0.45">
      <c r="A159">
        <v>0.76</v>
      </c>
      <c r="B159">
        <f t="shared" si="41"/>
        <v>1.5945211615525215E-2</v>
      </c>
      <c r="C159">
        <f t="shared" si="42"/>
        <v>0.14405478838447477</v>
      </c>
      <c r="D159">
        <f t="shared" si="43"/>
        <v>8.3747943569193281E-2</v>
      </c>
      <c r="E159">
        <f t="shared" si="34"/>
        <v>8.0308215777825126E-2</v>
      </c>
      <c r="F159">
        <f t="shared" si="35"/>
        <v>7.1642512063763555E-2</v>
      </c>
      <c r="G159">
        <f t="shared" si="36"/>
        <v>8.0617296715167042E-2</v>
      </c>
      <c r="H159">
        <f t="shared" si="44"/>
        <v>7.969458316243308E-2</v>
      </c>
      <c r="I159">
        <f t="shared" si="45"/>
        <v>7.9541874743649627E-2</v>
      </c>
      <c r="J159">
        <f t="shared" si="37"/>
        <v>8.0462323666737695E-2</v>
      </c>
      <c r="K159">
        <f t="shared" si="38"/>
        <v>0.13046232366673771</v>
      </c>
      <c r="L159">
        <f t="shared" si="39"/>
        <v>3.0462323666737692E-2</v>
      </c>
      <c r="M159">
        <f t="shared" si="46"/>
        <v>7.9877833264973233E-2</v>
      </c>
      <c r="N159">
        <f t="shared" si="49"/>
        <v>3.0462323666737692E-2</v>
      </c>
      <c r="O159">
        <f t="shared" si="40"/>
        <v>0.14405478838447477</v>
      </c>
      <c r="P159">
        <f t="shared" si="47"/>
        <v>2.8527228630112075E-2</v>
      </c>
      <c r="Q159">
        <f t="shared" si="48"/>
        <v>0.14553294338222894</v>
      </c>
    </row>
    <row r="160" spans="1:17" x14ac:dyDescent="0.45">
      <c r="A160">
        <v>0.76500000000000001</v>
      </c>
      <c r="B160">
        <f t="shared" si="41"/>
        <v>1.6292225577161062E-2</v>
      </c>
      <c r="C160">
        <f t="shared" si="42"/>
        <v>0.14370777442283894</v>
      </c>
      <c r="D160">
        <f t="shared" si="43"/>
        <v>8.3655406512757047E-2</v>
      </c>
      <c r="E160">
        <f t="shared" si="34"/>
        <v>8.0592360989270057E-2</v>
      </c>
      <c r="F160">
        <f t="shared" si="35"/>
        <v>7.2757241677362722E-2</v>
      </c>
      <c r="G160">
        <f t="shared" si="36"/>
        <v>8.0659662003867011E-2</v>
      </c>
      <c r="H160">
        <f t="shared" si="44"/>
        <v>8.000907441912633E-2</v>
      </c>
      <c r="I160">
        <f t="shared" si="45"/>
        <v>8.0013611628689488E-2</v>
      </c>
      <c r="J160">
        <f t="shared" si="37"/>
        <v>8.0888541483905091E-2</v>
      </c>
      <c r="K160">
        <f t="shared" si="38"/>
        <v>0.13088854148390511</v>
      </c>
      <c r="L160">
        <f t="shared" si="39"/>
        <v>3.0888541483905088E-2</v>
      </c>
      <c r="M160">
        <f t="shared" si="46"/>
        <v>8.0003629767650533E-2</v>
      </c>
      <c r="N160">
        <f t="shared" si="49"/>
        <v>3.0888541483905088E-2</v>
      </c>
      <c r="O160">
        <f t="shared" si="40"/>
        <v>0.14370777442283894</v>
      </c>
      <c r="P160">
        <f t="shared" si="47"/>
        <v>2.9046587131282414E-2</v>
      </c>
      <c r="Q160">
        <f t="shared" si="48"/>
        <v>0.14514943364366278</v>
      </c>
    </row>
    <row r="161" spans="1:17" x14ac:dyDescent="0.45">
      <c r="A161">
        <v>0.77</v>
      </c>
      <c r="B161">
        <f t="shared" si="41"/>
        <v>1.6630671733556715E-2</v>
      </c>
      <c r="C161">
        <f t="shared" si="42"/>
        <v>0.14336932826644327</v>
      </c>
      <c r="D161">
        <f t="shared" si="43"/>
        <v>8.3565154204384873E-2</v>
      </c>
      <c r="E161">
        <f t="shared" si="34"/>
        <v>8.0861866346790878E-2</v>
      </c>
      <c r="F161">
        <f t="shared" si="35"/>
        <v>7.3843881315933585E-2</v>
      </c>
      <c r="G161">
        <f t="shared" si="36"/>
        <v>8.0697795922550122E-2</v>
      </c>
      <c r="H161">
        <f t="shared" si="44"/>
        <v>8.0308215777825126E-2</v>
      </c>
      <c r="I161">
        <f t="shared" si="45"/>
        <v>8.0462323666737695E-2</v>
      </c>
      <c r="J161">
        <f t="shared" si="37"/>
        <v>8.1292799520186323E-2</v>
      </c>
      <c r="K161">
        <f t="shared" si="38"/>
        <v>0.13129279952018633</v>
      </c>
      <c r="L161">
        <f t="shared" si="39"/>
        <v>3.1292799520186321E-2</v>
      </c>
      <c r="M161">
        <f t="shared" si="46"/>
        <v>8.0123286311130054E-2</v>
      </c>
      <c r="N161">
        <f t="shared" si="49"/>
        <v>3.1292799520186321E-2</v>
      </c>
      <c r="O161">
        <f t="shared" si="40"/>
        <v>0.14336932826644327</v>
      </c>
      <c r="P161">
        <f t="shared" si="47"/>
        <v>2.9541874743649624E-2</v>
      </c>
      <c r="Q161">
        <f t="shared" si="48"/>
        <v>0.14477539279427981</v>
      </c>
    </row>
    <row r="162" spans="1:17" x14ac:dyDescent="0.45">
      <c r="A162">
        <v>0.77500000000000002</v>
      </c>
      <c r="B162">
        <f t="shared" si="41"/>
        <v>1.6960761624577311E-2</v>
      </c>
      <c r="C162">
        <f t="shared" si="42"/>
        <v>0.14303923837542271</v>
      </c>
      <c r="D162">
        <f t="shared" si="43"/>
        <v>8.3477130233446051E-2</v>
      </c>
      <c r="E162">
        <f t="shared" si="34"/>
        <v>8.1117090091988669E-2</v>
      </c>
      <c r="F162">
        <f t="shared" si="35"/>
        <v>7.4902262909376016E-2</v>
      </c>
      <c r="G162">
        <f t="shared" si="36"/>
        <v>8.0731917946807133E-2</v>
      </c>
      <c r="H162">
        <f t="shared" si="44"/>
        <v>8.0592360989270057E-2</v>
      </c>
      <c r="I162">
        <f t="shared" si="45"/>
        <v>8.0888541483905091E-2</v>
      </c>
      <c r="J162">
        <f t="shared" si="37"/>
        <v>8.1675635137982996E-2</v>
      </c>
      <c r="K162">
        <f t="shared" si="38"/>
        <v>0.131675635137983</v>
      </c>
      <c r="L162">
        <f t="shared" si="39"/>
        <v>3.1675635137982994E-2</v>
      </c>
      <c r="M162">
        <f t="shared" si="46"/>
        <v>8.0236944395708026E-2</v>
      </c>
      <c r="N162">
        <f t="shared" si="49"/>
        <v>3.1675635137982994E-2</v>
      </c>
      <c r="O162">
        <f t="shared" si="40"/>
        <v>0.14303923837542271</v>
      </c>
      <c r="P162">
        <f t="shared" si="47"/>
        <v>3.0013611628689485E-2</v>
      </c>
      <c r="Q162">
        <f t="shared" si="48"/>
        <v>0.14441058704637311</v>
      </c>
    </row>
    <row r="163" spans="1:17" x14ac:dyDescent="0.45">
      <c r="A163">
        <v>0.78</v>
      </c>
      <c r="B163">
        <f t="shared" si="41"/>
        <v>1.7282701567150033E-2</v>
      </c>
      <c r="C163">
        <f t="shared" si="42"/>
        <v>0.14271729843284997</v>
      </c>
      <c r="D163">
        <f t="shared" si="43"/>
        <v>8.3391279582093331E-2</v>
      </c>
      <c r="E163">
        <f t="shared" si="34"/>
        <v>8.1358391846831329E-2</v>
      </c>
      <c r="F163">
        <f t="shared" si="35"/>
        <v>7.5932251056642253E-2</v>
      </c>
      <c r="G163">
        <f t="shared" si="36"/>
        <v>8.0762240140512337E-2</v>
      </c>
      <c r="H163">
        <f t="shared" si="44"/>
        <v>8.0861866346790878E-2</v>
      </c>
      <c r="I163">
        <f t="shared" si="45"/>
        <v>8.1292799520186323E-2</v>
      </c>
      <c r="J163">
        <f t="shared" si="37"/>
        <v>8.2037587770246986E-2</v>
      </c>
      <c r="K163">
        <f t="shared" si="38"/>
        <v>0.13203758777024699</v>
      </c>
      <c r="L163">
        <f t="shared" si="39"/>
        <v>3.2037587770246984E-2</v>
      </c>
      <c r="M163">
        <f t="shared" si="46"/>
        <v>8.0344746538716358E-2</v>
      </c>
      <c r="N163">
        <f t="shared" si="49"/>
        <v>3.2037587770246984E-2</v>
      </c>
      <c r="O163">
        <f t="shared" si="40"/>
        <v>0.14271729843284997</v>
      </c>
      <c r="P163">
        <f t="shared" si="47"/>
        <v>3.0462323666737692E-2</v>
      </c>
      <c r="Q163">
        <f t="shared" si="48"/>
        <v>0.14405478838447477</v>
      </c>
    </row>
    <row r="164" spans="1:17" x14ac:dyDescent="0.45">
      <c r="A164">
        <v>0.78500000000000003</v>
      </c>
      <c r="B164">
        <f t="shared" si="41"/>
        <v>1.7596692784219048E-2</v>
      </c>
      <c r="C164">
        <f t="shared" si="42"/>
        <v>0.14240330721578096</v>
      </c>
      <c r="D164">
        <f t="shared" si="43"/>
        <v>8.3307548590874927E-2</v>
      </c>
      <c r="E164">
        <f t="shared" si="34"/>
        <v>8.1586132071624157E-2</v>
      </c>
      <c r="F164">
        <f t="shared" si="35"/>
        <v>7.6933742128051361E-2</v>
      </c>
      <c r="G164">
        <f t="shared" si="36"/>
        <v>8.0788967256557459E-2</v>
      </c>
      <c r="H164">
        <f t="shared" si="44"/>
        <v>8.1117090091988669E-2</v>
      </c>
      <c r="I164">
        <f t="shared" si="45"/>
        <v>8.1675635137982996E-2</v>
      </c>
      <c r="J164">
        <f t="shared" si="37"/>
        <v>8.2379198107436241E-2</v>
      </c>
      <c r="K164">
        <f t="shared" si="38"/>
        <v>0.13237919810743626</v>
      </c>
      <c r="L164">
        <f t="shared" si="39"/>
        <v>3.2379198107436238E-2</v>
      </c>
      <c r="M164">
        <f t="shared" si="46"/>
        <v>8.0446836036795463E-2</v>
      </c>
      <c r="N164">
        <f t="shared" si="49"/>
        <v>3.2379198107436238E-2</v>
      </c>
      <c r="O164">
        <f t="shared" si="40"/>
        <v>0.14240330721578096</v>
      </c>
      <c r="P164">
        <f t="shared" si="47"/>
        <v>3.0888541483905088E-2</v>
      </c>
      <c r="Q164">
        <f t="shared" si="48"/>
        <v>0.14370777442283894</v>
      </c>
    </row>
    <row r="165" spans="1:17" x14ac:dyDescent="0.45">
      <c r="A165">
        <v>0.79</v>
      </c>
      <c r="B165">
        <f t="shared" si="41"/>
        <v>1.7902931530516294E-2</v>
      </c>
      <c r="C165">
        <f t="shared" si="42"/>
        <v>0.14209706846948372</v>
      </c>
      <c r="D165">
        <f t="shared" si="43"/>
        <v>8.3225884925195656E-2</v>
      </c>
      <c r="E165">
        <f t="shared" si="34"/>
        <v>8.1800671548308695E-2</v>
      </c>
      <c r="F165">
        <f t="shared" si="35"/>
        <v>7.7906663365094872E-2</v>
      </c>
      <c r="G165">
        <f t="shared" si="36"/>
        <v>8.081229684486535E-2</v>
      </c>
      <c r="H165">
        <f t="shared" si="44"/>
        <v>8.1358391846831329E-2</v>
      </c>
      <c r="I165">
        <f t="shared" si="45"/>
        <v>8.2037587770246986E-2</v>
      </c>
      <c r="J165">
        <f t="shared" si="37"/>
        <v>8.2701007322463035E-2</v>
      </c>
      <c r="K165">
        <f t="shared" si="38"/>
        <v>0.13270100732246304</v>
      </c>
      <c r="L165">
        <f t="shared" si="39"/>
        <v>3.2701007322463033E-2</v>
      </c>
      <c r="M165">
        <f t="shared" si="46"/>
        <v>8.054335673873253E-2</v>
      </c>
      <c r="N165">
        <f t="shared" si="49"/>
        <v>3.2701007322463033E-2</v>
      </c>
      <c r="O165">
        <f t="shared" si="40"/>
        <v>0.14209706846948372</v>
      </c>
      <c r="P165">
        <f t="shared" si="47"/>
        <v>3.1292799520186321E-2</v>
      </c>
      <c r="Q165">
        <f t="shared" si="48"/>
        <v>0.14336932826644327</v>
      </c>
    </row>
    <row r="166" spans="1:17" x14ac:dyDescent="0.45">
      <c r="A166">
        <v>0.79500000000000004</v>
      </c>
      <c r="B166">
        <f t="shared" si="41"/>
        <v>1.8201609215227135E-2</v>
      </c>
      <c r="C166">
        <f t="shared" si="42"/>
        <v>0.14179839078477285</v>
      </c>
      <c r="D166">
        <f t="shared" si="43"/>
        <v>8.3146237542606097E-2</v>
      </c>
      <c r="E166">
        <f t="shared" si="34"/>
        <v>8.2002370888536916E-2</v>
      </c>
      <c r="F166">
        <f t="shared" si="35"/>
        <v>7.8850971978685486E-2</v>
      </c>
      <c r="G166">
        <f t="shared" si="36"/>
        <v>8.0832419366967459E-2</v>
      </c>
      <c r="H166">
        <f t="shared" si="44"/>
        <v>8.1586132071624157E-2</v>
      </c>
      <c r="I166">
        <f t="shared" si="45"/>
        <v>8.2379198107436241E-2</v>
      </c>
      <c r="J166">
        <f t="shared" si="37"/>
        <v>8.3003556332805387E-2</v>
      </c>
      <c r="K166">
        <f t="shared" si="38"/>
        <v>0.13300355633280539</v>
      </c>
      <c r="L166">
        <f t="shared" si="39"/>
        <v>3.3003556332805384E-2</v>
      </c>
      <c r="M166">
        <f t="shared" si="46"/>
        <v>8.0634452828649658E-2</v>
      </c>
      <c r="N166">
        <f t="shared" si="49"/>
        <v>3.3003556332805384E-2</v>
      </c>
      <c r="O166">
        <f t="shared" si="40"/>
        <v>0.14179839078477285</v>
      </c>
      <c r="P166">
        <f t="shared" si="47"/>
        <v>3.1675635137982994E-2</v>
      </c>
      <c r="Q166">
        <f t="shared" si="48"/>
        <v>0.14303923837542271</v>
      </c>
    </row>
    <row r="167" spans="1:17" x14ac:dyDescent="0.45">
      <c r="A167">
        <v>0.8</v>
      </c>
      <c r="B167">
        <f t="shared" si="41"/>
        <v>1.8492912521627283E-2</v>
      </c>
      <c r="C167">
        <f t="shared" si="42"/>
        <v>0.14150708747837271</v>
      </c>
      <c r="D167">
        <f t="shared" si="43"/>
        <v>8.3068556660899392E-2</v>
      </c>
      <c r="E167">
        <f t="shared" si="34"/>
        <v>8.2191590065961787E-2</v>
      </c>
      <c r="F167">
        <f t="shared" si="35"/>
        <v>7.9766654246770916E-2</v>
      </c>
      <c r="G167">
        <f t="shared" si="36"/>
        <v>8.084951831646485E-2</v>
      </c>
      <c r="H167">
        <f t="shared" si="44"/>
        <v>8.1800671548308695E-2</v>
      </c>
      <c r="I167">
        <f t="shared" si="45"/>
        <v>8.2701007322463035E-2</v>
      </c>
      <c r="J167">
        <f t="shared" si="37"/>
        <v>8.3287385098942679E-2</v>
      </c>
      <c r="K167">
        <f t="shared" si="38"/>
        <v>0.13328738509894267</v>
      </c>
      <c r="L167">
        <f t="shared" si="39"/>
        <v>3.3287385098942676E-2</v>
      </c>
      <c r="M167">
        <f t="shared" si="46"/>
        <v>8.0720268619323479E-2</v>
      </c>
      <c r="N167">
        <f t="shared" si="49"/>
        <v>3.3287385098942676E-2</v>
      </c>
      <c r="O167">
        <f t="shared" si="40"/>
        <v>0.14150708747837271</v>
      </c>
      <c r="P167">
        <f t="shared" si="47"/>
        <v>3.2037587770246984E-2</v>
      </c>
      <c r="Q167">
        <f t="shared" si="48"/>
        <v>0.14271729843284997</v>
      </c>
    </row>
    <row r="168" spans="1:17" x14ac:dyDescent="0.45">
      <c r="A168">
        <v>0.80500000000000005</v>
      </c>
      <c r="B168">
        <f t="shared" si="41"/>
        <v>1.8777023523765979E-2</v>
      </c>
      <c r="C168">
        <f t="shared" si="42"/>
        <v>0.14122297647623402</v>
      </c>
      <c r="D168">
        <f t="shared" si="43"/>
        <v>8.2992793726995737E-2</v>
      </c>
      <c r="E168">
        <f t="shared" si="34"/>
        <v>8.2368687972180263E-2</v>
      </c>
      <c r="F168">
        <f t="shared" si="35"/>
        <v>8.0653724612207392E-2</v>
      </c>
      <c r="G168">
        <f t="shared" si="36"/>
        <v>8.0863770344728997E-2</v>
      </c>
      <c r="H168">
        <f t="shared" si="44"/>
        <v>8.2002370888536916E-2</v>
      </c>
      <c r="I168">
        <f t="shared" si="45"/>
        <v>8.3003556332805387E-2</v>
      </c>
      <c r="J168">
        <f t="shared" si="37"/>
        <v>8.3553031958270407E-2</v>
      </c>
      <c r="K168">
        <f t="shared" si="38"/>
        <v>0.1335530319582704</v>
      </c>
      <c r="L168">
        <f t="shared" si="39"/>
        <v>3.3553031958270405E-2</v>
      </c>
      <c r="M168">
        <f t="shared" si="46"/>
        <v>8.0800948355414765E-2</v>
      </c>
      <c r="N168">
        <f t="shared" si="49"/>
        <v>3.3553031958270405E-2</v>
      </c>
      <c r="O168">
        <f t="shared" si="40"/>
        <v>0.14122297647623402</v>
      </c>
      <c r="P168">
        <f t="shared" si="47"/>
        <v>3.2379198107436238E-2</v>
      </c>
      <c r="Q168">
        <f t="shared" si="48"/>
        <v>0.14240330721578096</v>
      </c>
    </row>
    <row r="169" spans="1:17" x14ac:dyDescent="0.45">
      <c r="A169">
        <v>0.81</v>
      </c>
      <c r="B169">
        <f t="shared" si="41"/>
        <v>1.9054119800268152E-2</v>
      </c>
      <c r="C169">
        <f t="shared" si="42"/>
        <v>0.14094588019973187</v>
      </c>
      <c r="D169">
        <f t="shared" si="43"/>
        <v>8.2918901386595162E-2</v>
      </c>
      <c r="E169">
        <f t="shared" si="34"/>
        <v>8.253402199576175E-2</v>
      </c>
      <c r="F169">
        <f t="shared" si="35"/>
        <v>8.1512224781758319E-2</v>
      </c>
      <c r="G169">
        <f t="shared" si="36"/>
        <v>8.0875345391232895E-2</v>
      </c>
      <c r="H169">
        <f t="shared" si="44"/>
        <v>8.2191590065961787E-2</v>
      </c>
      <c r="I169">
        <f t="shared" si="45"/>
        <v>8.3287385098942679E-2</v>
      </c>
      <c r="J169">
        <f t="shared" si="37"/>
        <v>8.3801032993642638E-2</v>
      </c>
      <c r="K169">
        <f t="shared" si="38"/>
        <v>0.13380103299364265</v>
      </c>
      <c r="L169">
        <f t="shared" si="39"/>
        <v>3.3801032993642635E-2</v>
      </c>
      <c r="M169">
        <f t="shared" si="46"/>
        <v>8.0876636026384716E-2</v>
      </c>
      <c r="N169">
        <f t="shared" si="49"/>
        <v>3.3801032993642635E-2</v>
      </c>
      <c r="O169">
        <f t="shared" si="40"/>
        <v>0.14094588019973187</v>
      </c>
      <c r="P169">
        <f t="shared" si="47"/>
        <v>3.2701007322463033E-2</v>
      </c>
      <c r="Q169">
        <f t="shared" si="48"/>
        <v>0.14209706846948372</v>
      </c>
    </row>
    <row r="170" spans="1:17" x14ac:dyDescent="0.45">
      <c r="A170">
        <v>0.81499999999999995</v>
      </c>
      <c r="B170">
        <f t="shared" si="41"/>
        <v>1.9324374545326858E-2</v>
      </c>
      <c r="C170">
        <f t="shared" si="42"/>
        <v>0.14067562545467316</v>
      </c>
      <c r="D170">
        <f t="shared" si="43"/>
        <v>8.2846833454579508E-2</v>
      </c>
      <c r="E170">
        <f t="shared" si="34"/>
        <v>8.2687947623791433E-2</v>
      </c>
      <c r="F170">
        <f t="shared" si="35"/>
        <v>8.2342222827055792E-2</v>
      </c>
      <c r="G170">
        <f t="shared" si="36"/>
        <v>8.0884406817936183E-2</v>
      </c>
      <c r="H170">
        <f t="shared" si="44"/>
        <v>8.2368687972180263E-2</v>
      </c>
      <c r="I170">
        <f t="shared" si="45"/>
        <v>8.3553031958270407E-2</v>
      </c>
      <c r="J170">
        <f t="shared" si="37"/>
        <v>8.4031921435687149E-2</v>
      </c>
      <c r="K170">
        <f t="shared" si="38"/>
        <v>0.13403192143568715</v>
      </c>
      <c r="L170">
        <f t="shared" si="39"/>
        <v>3.4031921435687146E-2</v>
      </c>
      <c r="M170">
        <f t="shared" si="46"/>
        <v>8.0947475188872103E-2</v>
      </c>
      <c r="N170">
        <f t="shared" si="49"/>
        <v>3.4031921435687146E-2</v>
      </c>
      <c r="O170">
        <f t="shared" si="40"/>
        <v>0.14067562545467316</v>
      </c>
      <c r="P170">
        <f t="shared" si="47"/>
        <v>3.3003556332805384E-2</v>
      </c>
      <c r="Q170">
        <f t="shared" si="48"/>
        <v>0.14179839078477285</v>
      </c>
    </row>
    <row r="171" spans="1:17" x14ac:dyDescent="0.45">
      <c r="A171">
        <v>0.82</v>
      </c>
      <c r="B171">
        <f t="shared" si="41"/>
        <v>1.9587956676955315E-2</v>
      </c>
      <c r="C171">
        <f t="shared" si="42"/>
        <v>0.14041204332304469</v>
      </c>
      <c r="D171">
        <f t="shared" si="43"/>
        <v>8.2776544886145248E-2</v>
      </c>
      <c r="E171">
        <f t="shared" si="34"/>
        <v>8.2830818065356679E-2</v>
      </c>
      <c r="F171">
        <f t="shared" si="35"/>
        <v>8.314381228833416E-2</v>
      </c>
      <c r="G171">
        <f t="shared" si="36"/>
        <v>8.0891111547180233E-2</v>
      </c>
      <c r="H171">
        <f t="shared" si="44"/>
        <v>8.253402199576175E-2</v>
      </c>
      <c r="I171">
        <f t="shared" si="45"/>
        <v>8.3801032993642638E-2</v>
      </c>
      <c r="J171">
        <f t="shared" si="37"/>
        <v>8.4246227098035031E-2</v>
      </c>
      <c r="K171">
        <f t="shared" si="38"/>
        <v>0.13424622709803502</v>
      </c>
      <c r="L171">
        <f t="shared" si="39"/>
        <v>3.4246227098035029E-2</v>
      </c>
      <c r="M171">
        <f t="shared" si="46"/>
        <v>8.1013608798304701E-2</v>
      </c>
      <c r="N171">
        <f t="shared" si="49"/>
        <v>3.4246227098035029E-2</v>
      </c>
      <c r="O171">
        <f t="shared" si="40"/>
        <v>0.14041204332304469</v>
      </c>
      <c r="P171">
        <f t="shared" si="47"/>
        <v>3.3287385098942676E-2</v>
      </c>
      <c r="Q171">
        <f t="shared" si="48"/>
        <v>0.14150708747837271</v>
      </c>
    </row>
    <row r="172" spans="1:17" x14ac:dyDescent="0.45">
      <c r="A172">
        <v>0.82499999999999996</v>
      </c>
      <c r="B172">
        <f t="shared" si="41"/>
        <v>1.984503094256608E-2</v>
      </c>
      <c r="C172">
        <f t="shared" si="42"/>
        <v>0.14015496905743391</v>
      </c>
      <c r="D172">
        <f t="shared" si="43"/>
        <v>8.270799174864904E-2</v>
      </c>
      <c r="E172">
        <f t="shared" si="34"/>
        <v>8.2962983896403206E-2</v>
      </c>
      <c r="F172">
        <f t="shared" si="35"/>
        <v>8.391711128171625E-2</v>
      </c>
      <c r="G172">
        <f t="shared" si="36"/>
        <v>8.0895610202580182E-2</v>
      </c>
      <c r="H172">
        <f t="shared" si="44"/>
        <v>8.2687947623791433E-2</v>
      </c>
      <c r="I172">
        <f t="shared" si="45"/>
        <v>8.4031921435687149E-2</v>
      </c>
      <c r="J172">
        <f t="shared" si="37"/>
        <v>8.4444475844604794E-2</v>
      </c>
      <c r="K172">
        <f t="shared" si="38"/>
        <v>0.13444447584460478</v>
      </c>
      <c r="L172">
        <f t="shared" si="39"/>
        <v>3.4444475844604791E-2</v>
      </c>
      <c r="M172">
        <f t="shared" si="46"/>
        <v>8.1075179049516569E-2</v>
      </c>
      <c r="N172">
        <f t="shared" si="49"/>
        <v>3.4444475844604791E-2</v>
      </c>
      <c r="O172">
        <f t="shared" si="40"/>
        <v>0.14015496905743391</v>
      </c>
      <c r="P172">
        <f t="shared" si="47"/>
        <v>3.3553031958270405E-2</v>
      </c>
      <c r="Q172">
        <f t="shared" si="48"/>
        <v>0.14122297647623402</v>
      </c>
    </row>
    <row r="173" spans="1:17" x14ac:dyDescent="0.45">
      <c r="A173">
        <v>0.83</v>
      </c>
      <c r="B173">
        <f t="shared" si="41"/>
        <v>2.0095758021943688E-2</v>
      </c>
      <c r="C173">
        <f t="shared" si="42"/>
        <v>0.13990424197805632</v>
      </c>
      <c r="D173">
        <f t="shared" si="43"/>
        <v>8.2641131194148357E-2</v>
      </c>
      <c r="E173">
        <f t="shared" si="34"/>
        <v>8.3084792725387546E-2</v>
      </c>
      <c r="F173">
        <f t="shared" si="35"/>
        <v>8.4662261610805603E-2</v>
      </c>
      <c r="G173">
        <f t="shared" si="36"/>
        <v>8.08980472524303E-2</v>
      </c>
      <c r="H173">
        <f t="shared" si="44"/>
        <v>8.2830818065356679E-2</v>
      </c>
      <c r="I173">
        <f t="shared" si="45"/>
        <v>8.4246227098035031E-2</v>
      </c>
      <c r="J173">
        <f t="shared" si="37"/>
        <v>8.4627189088081312E-2</v>
      </c>
      <c r="K173">
        <f t="shared" si="38"/>
        <v>0.1346271890880813</v>
      </c>
      <c r="L173">
        <f t="shared" si="39"/>
        <v>3.4627189088081309E-2</v>
      </c>
      <c r="M173">
        <f t="shared" si="46"/>
        <v>8.1132327226142678E-2</v>
      </c>
      <c r="N173">
        <f t="shared" si="49"/>
        <v>3.4627189088081309E-2</v>
      </c>
      <c r="O173">
        <f t="shared" si="40"/>
        <v>0.13990424197805632</v>
      </c>
      <c r="P173">
        <f t="shared" si="47"/>
        <v>3.3801032993642635E-2</v>
      </c>
      <c r="Q173">
        <f t="shared" si="48"/>
        <v>0.14094588019973187</v>
      </c>
    </row>
    <row r="174" spans="1:17" x14ac:dyDescent="0.45">
      <c r="A174">
        <v>0.83499999999999996</v>
      </c>
      <c r="B174">
        <f t="shared" si="41"/>
        <v>2.0340294627674588E-2</v>
      </c>
      <c r="C174">
        <f t="shared" si="42"/>
        <v>0.13965970537232542</v>
      </c>
      <c r="D174">
        <f t="shared" si="43"/>
        <v>8.2575921432620117E-2</v>
      </c>
      <c r="E174">
        <f t="shared" si="34"/>
        <v>8.3196588879153141E-2</v>
      </c>
      <c r="F174">
        <f t="shared" si="35"/>
        <v>8.5379427883309822E-2</v>
      </c>
      <c r="G174">
        <f t="shared" si="36"/>
        <v>8.08985611551684E-2</v>
      </c>
      <c r="H174">
        <f t="shared" si="44"/>
        <v>8.2962983896403206E-2</v>
      </c>
      <c r="I174">
        <f t="shared" si="45"/>
        <v>8.4444475844604794E-2</v>
      </c>
      <c r="J174">
        <f t="shared" si="37"/>
        <v>8.4794883318729697E-2</v>
      </c>
      <c r="K174">
        <f t="shared" si="38"/>
        <v>0.13479488331872969</v>
      </c>
      <c r="L174">
        <f t="shared" si="39"/>
        <v>3.4794883318729694E-2</v>
      </c>
      <c r="M174">
        <f t="shared" si="46"/>
        <v>8.1185193558561283E-2</v>
      </c>
      <c r="N174">
        <f t="shared" si="49"/>
        <v>3.4794883318729694E-2</v>
      </c>
      <c r="O174">
        <f t="shared" si="40"/>
        <v>0.13965970537232542</v>
      </c>
      <c r="P174">
        <f t="shared" si="47"/>
        <v>3.4031921435687146E-2</v>
      </c>
      <c r="Q174">
        <f t="shared" si="48"/>
        <v>0.14067562545467316</v>
      </c>
    </row>
    <row r="175" spans="1:17" x14ac:dyDescent="0.45">
      <c r="A175">
        <v>0.84000000000000097</v>
      </c>
      <c r="B175">
        <f t="shared" si="41"/>
        <v>2.0578793603097681E-2</v>
      </c>
      <c r="C175">
        <f t="shared" si="42"/>
        <v>0.13942120639690231</v>
      </c>
      <c r="D175">
        <f t="shared" si="43"/>
        <v>8.2512321705840622E-2</v>
      </c>
      <c r="E175">
        <f t="shared" si="34"/>
        <v>8.3298713108458031E-2</v>
      </c>
      <c r="F175">
        <f t="shared" si="35"/>
        <v>8.6068796633391884E-2</v>
      </c>
      <c r="G175">
        <f t="shared" si="36"/>
        <v>8.0897284506471753E-2</v>
      </c>
      <c r="H175">
        <f t="shared" si="44"/>
        <v>8.3084792725387546E-2</v>
      </c>
      <c r="I175">
        <f t="shared" si="45"/>
        <v>8.4627189088081312E-2</v>
      </c>
      <c r="J175">
        <f t="shared" si="37"/>
        <v>8.4948069662687059E-2</v>
      </c>
      <c r="K175">
        <f t="shared" si="38"/>
        <v>0.13494806966268708</v>
      </c>
      <c r="L175">
        <f t="shared" si="39"/>
        <v>3.4948069662687056E-2</v>
      </c>
      <c r="M175">
        <f t="shared" si="46"/>
        <v>8.1233917090155025E-2</v>
      </c>
      <c r="N175">
        <f t="shared" si="49"/>
        <v>3.4948069662687056E-2</v>
      </c>
      <c r="O175">
        <f t="shared" si="40"/>
        <v>0.13942120639690231</v>
      </c>
      <c r="P175">
        <f t="shared" si="47"/>
        <v>3.4246227098035029E-2</v>
      </c>
      <c r="Q175">
        <f t="shared" si="48"/>
        <v>0.14041204332304469</v>
      </c>
    </row>
    <row r="176" spans="1:17" x14ac:dyDescent="0.45">
      <c r="A176">
        <v>0.84500000000000097</v>
      </c>
      <c r="B176">
        <f t="shared" si="41"/>
        <v>2.0811404017836446E-2</v>
      </c>
      <c r="C176">
        <f t="shared" si="42"/>
        <v>0.13918859598216354</v>
      </c>
      <c r="D176">
        <f t="shared" si="43"/>
        <v>8.245029226191028E-2</v>
      </c>
      <c r="E176">
        <f t="shared" si="34"/>
        <v>8.339150231258477E-2</v>
      </c>
      <c r="F176">
        <f t="shared" si="35"/>
        <v>8.67305754504194E-2</v>
      </c>
      <c r="G176">
        <f t="shared" si="36"/>
        <v>8.0894344187584219E-2</v>
      </c>
      <c r="H176">
        <f t="shared" si="44"/>
        <v>8.3196588879153141E-2</v>
      </c>
      <c r="I176">
        <f t="shared" si="45"/>
        <v>8.4794883318729697E-2</v>
      </c>
      <c r="J176">
        <f t="shared" si="37"/>
        <v>8.5087253468877161E-2</v>
      </c>
      <c r="K176">
        <f t="shared" si="38"/>
        <v>0.13508725346887718</v>
      </c>
      <c r="L176">
        <f t="shared" si="39"/>
        <v>3.5087253468877158E-2</v>
      </c>
      <c r="M176">
        <f t="shared" si="46"/>
        <v>8.127863555166126E-2</v>
      </c>
      <c r="N176">
        <f t="shared" si="49"/>
        <v>3.5087253468877158E-2</v>
      </c>
      <c r="O176">
        <f t="shared" si="40"/>
        <v>0.13918859598216354</v>
      </c>
      <c r="P176">
        <f t="shared" si="47"/>
        <v>3.4444475844604791E-2</v>
      </c>
      <c r="Q176">
        <f t="shared" si="48"/>
        <v>0.14015496905743391</v>
      </c>
    </row>
    <row r="177" spans="1:17" x14ac:dyDescent="0.45">
      <c r="A177">
        <v>0.85000000000000098</v>
      </c>
      <c r="B177">
        <f t="shared" si="41"/>
        <v>2.1038271260972213E-2</v>
      </c>
      <c r="C177">
        <f t="shared" si="42"/>
        <v>0.13896172873902779</v>
      </c>
      <c r="D177">
        <f t="shared" si="43"/>
        <v>8.2389794330407412E-2</v>
      </c>
      <c r="E177">
        <f t="shared" si="34"/>
        <v>8.3475289282465281E-2</v>
      </c>
      <c r="F177">
        <f t="shared" si="35"/>
        <v>8.7364992114755693E-2</v>
      </c>
      <c r="G177">
        <f t="shared" si="36"/>
        <v>8.0889861514499228E-2</v>
      </c>
      <c r="H177">
        <f t="shared" si="44"/>
        <v>8.3298713108458031E-2</v>
      </c>
      <c r="I177">
        <f t="shared" si="45"/>
        <v>8.4948069662687059E-2</v>
      </c>
      <c r="J177">
        <f t="shared" si="37"/>
        <v>8.5212933923697928E-2</v>
      </c>
      <c r="K177">
        <f t="shared" si="38"/>
        <v>0.13521293392369793</v>
      </c>
      <c r="L177">
        <f t="shared" si="39"/>
        <v>3.5212933923697926E-2</v>
      </c>
      <c r="M177">
        <f t="shared" si="46"/>
        <v>8.1319485243383213E-2</v>
      </c>
      <c r="N177">
        <f t="shared" si="49"/>
        <v>3.5212933923697926E-2</v>
      </c>
      <c r="O177">
        <f t="shared" si="40"/>
        <v>0.13896172873902779</v>
      </c>
      <c r="P177">
        <f t="shared" si="47"/>
        <v>3.4627189088081309E-2</v>
      </c>
      <c r="Q177">
        <f t="shared" si="48"/>
        <v>0.13990424197805632</v>
      </c>
    </row>
    <row r="178" spans="1:17" x14ac:dyDescent="0.45">
      <c r="A178">
        <v>0.85500000000000098</v>
      </c>
      <c r="B178">
        <f t="shared" si="41"/>
        <v>2.1259537131917028E-2</v>
      </c>
      <c r="C178">
        <f t="shared" si="42"/>
        <v>0.13874046286808298</v>
      </c>
      <c r="D178">
        <f t="shared" si="43"/>
        <v>8.2330790098155457E-2</v>
      </c>
      <c r="E178">
        <f t="shared" si="34"/>
        <v>8.3550402461756768E-2</v>
      </c>
      <c r="F178">
        <f t="shared" si="35"/>
        <v>8.7972293741205784E-2</v>
      </c>
      <c r="G178">
        <f t="shared" si="36"/>
        <v>8.0883952387647881E-2</v>
      </c>
      <c r="H178">
        <f t="shared" si="44"/>
        <v>8.339150231258477E-2</v>
      </c>
      <c r="I178">
        <f t="shared" si="45"/>
        <v>8.5087253468877161E-2</v>
      </c>
      <c r="J178">
        <f t="shared" si="37"/>
        <v>8.5325603692635144E-2</v>
      </c>
      <c r="K178">
        <f t="shared" si="38"/>
        <v>0.13532560369263513</v>
      </c>
      <c r="L178">
        <f t="shared" si="39"/>
        <v>3.5325603692635141E-2</v>
      </c>
      <c r="M178">
        <f t="shared" si="46"/>
        <v>8.1356600925033912E-2</v>
      </c>
      <c r="N178">
        <f t="shared" si="49"/>
        <v>3.5325603692635141E-2</v>
      </c>
      <c r="O178">
        <f t="shared" si="40"/>
        <v>0.13874046286808298</v>
      </c>
      <c r="P178">
        <f t="shared" si="47"/>
        <v>3.4794883318729694E-2</v>
      </c>
      <c r="Q178">
        <f t="shared" si="48"/>
        <v>0.13965970537232542</v>
      </c>
    </row>
    <row r="179" spans="1:17" x14ac:dyDescent="0.45">
      <c r="A179">
        <v>0.86000000000000099</v>
      </c>
      <c r="B179">
        <f t="shared" si="41"/>
        <v>2.1475339929043089E-2</v>
      </c>
      <c r="C179">
        <f t="shared" si="42"/>
        <v>0.13852466007095693</v>
      </c>
      <c r="D179">
        <f t="shared" si="43"/>
        <v>8.2273242685588513E-2</v>
      </c>
      <c r="E179">
        <f t="shared" si="34"/>
        <v>8.3617165725308473E-2</v>
      </c>
      <c r="F179">
        <f t="shared" si="35"/>
        <v>8.8552745930707846E-2</v>
      </c>
      <c r="G179">
        <f t="shared" si="36"/>
        <v>8.0876727441764662E-2</v>
      </c>
      <c r="H179">
        <f t="shared" si="44"/>
        <v>8.3475289282465281E-2</v>
      </c>
      <c r="I179">
        <f t="shared" si="45"/>
        <v>8.5212933923697928E-2</v>
      </c>
      <c r="J179">
        <f t="shared" si="37"/>
        <v>8.5425748587962702E-2</v>
      </c>
      <c r="K179">
        <f t="shared" si="38"/>
        <v>0.13542574858796269</v>
      </c>
      <c r="L179">
        <f t="shared" si="39"/>
        <v>3.5425748587962699E-2</v>
      </c>
      <c r="M179">
        <f t="shared" si="46"/>
        <v>8.1390115712986114E-2</v>
      </c>
      <c r="N179">
        <f t="shared" si="49"/>
        <v>3.5425748587962699E-2</v>
      </c>
      <c r="O179">
        <f t="shared" si="40"/>
        <v>0.13852466007095693</v>
      </c>
      <c r="P179">
        <f t="shared" si="47"/>
        <v>3.4948069662687056E-2</v>
      </c>
      <c r="Q179">
        <f t="shared" si="48"/>
        <v>0.13942120639690231</v>
      </c>
    </row>
    <row r="180" spans="1:17" x14ac:dyDescent="0.45">
      <c r="A180">
        <v>0.86500000000000099</v>
      </c>
      <c r="B180">
        <f t="shared" si="41"/>
        <v>2.1685814536123574E-2</v>
      </c>
      <c r="C180">
        <f t="shared" si="42"/>
        <v>0.13831418546387642</v>
      </c>
      <c r="D180">
        <f t="shared" si="43"/>
        <v>8.2217116123700376E-2</v>
      </c>
      <c r="E180">
        <f t="shared" si="34"/>
        <v>8.3675898174463831E-2</v>
      </c>
      <c r="F180">
        <f t="shared" si="35"/>
        <v>8.9106631930831764E-2</v>
      </c>
      <c r="G180">
        <f t="shared" si="36"/>
        <v>8.0868292195625802E-2</v>
      </c>
      <c r="H180">
        <f t="shared" si="44"/>
        <v>8.3550402461756768E-2</v>
      </c>
      <c r="I180">
        <f t="shared" si="45"/>
        <v>8.5325603692635144E-2</v>
      </c>
      <c r="J180">
        <f t="shared" si="37"/>
        <v>8.5513847261695752E-2</v>
      </c>
      <c r="K180">
        <f t="shared" si="38"/>
        <v>0.13551384726169574</v>
      </c>
      <c r="L180">
        <f t="shared" si="39"/>
        <v>3.551384726169575E-2</v>
      </c>
      <c r="M180">
        <f t="shared" si="46"/>
        <v>8.1420160984702714E-2</v>
      </c>
      <c r="N180">
        <f t="shared" si="49"/>
        <v>3.551384726169575E-2</v>
      </c>
      <c r="O180">
        <f t="shared" si="40"/>
        <v>0.13831418546387642</v>
      </c>
      <c r="P180">
        <f t="shared" si="47"/>
        <v>3.5087253468877158E-2</v>
      </c>
      <c r="Q180">
        <f t="shared" si="48"/>
        <v>0.13918859598216354</v>
      </c>
    </row>
    <row r="181" spans="1:17" x14ac:dyDescent="0.45">
      <c r="A181">
        <v>0.87000000000000099</v>
      </c>
      <c r="B181">
        <f t="shared" si="41"/>
        <v>2.189109250663944E-2</v>
      </c>
      <c r="C181">
        <f t="shared" si="42"/>
        <v>0.13810890749336058</v>
      </c>
      <c r="D181">
        <f t="shared" si="43"/>
        <v>8.2162375331562815E-2</v>
      </c>
      <c r="E181">
        <f t="shared" si="34"/>
        <v>8.3726913948646869E-2</v>
      </c>
      <c r="F181">
        <f t="shared" si="35"/>
        <v>8.9634251805620485E-2</v>
      </c>
      <c r="G181">
        <f t="shared" si="36"/>
        <v>8.0858747201376729E-2</v>
      </c>
      <c r="H181">
        <f t="shared" si="44"/>
        <v>8.3617165725308473E-2</v>
      </c>
      <c r="I181">
        <f t="shared" si="45"/>
        <v>8.5425748587962702E-2</v>
      </c>
      <c r="J181">
        <f t="shared" si="37"/>
        <v>8.559037092297031E-2</v>
      </c>
      <c r="K181">
        <f t="shared" si="38"/>
        <v>0.13559037092297033</v>
      </c>
      <c r="L181">
        <f t="shared" si="39"/>
        <v>3.5590370922970307E-2</v>
      </c>
      <c r="M181">
        <f t="shared" si="46"/>
        <v>8.144686629012339E-2</v>
      </c>
      <c r="N181">
        <f t="shared" si="49"/>
        <v>3.5590370922970307E-2</v>
      </c>
      <c r="O181">
        <f t="shared" si="40"/>
        <v>0.13810890749336058</v>
      </c>
      <c r="P181">
        <f t="shared" si="47"/>
        <v>3.5212933923697926E-2</v>
      </c>
      <c r="Q181">
        <f t="shared" si="48"/>
        <v>0.13896172873902779</v>
      </c>
    </row>
    <row r="182" spans="1:17" x14ac:dyDescent="0.45">
      <c r="A182">
        <v>0.875000000000001</v>
      </c>
      <c r="B182">
        <f t="shared" si="41"/>
        <v>2.2091302146004618E-2</v>
      </c>
      <c r="C182">
        <f t="shared" si="42"/>
        <v>0.1379086978539954</v>
      </c>
      <c r="D182">
        <f t="shared" si="43"/>
        <v>8.2108986094398762E-2</v>
      </c>
      <c r="E182">
        <f t="shared" si="34"/>
        <v>8.3770522052687507E-2</v>
      </c>
      <c r="F182">
        <f t="shared" si="35"/>
        <v>9.0135921615284637E-2</v>
      </c>
      <c r="G182">
        <f t="shared" si="36"/>
        <v>8.0848188193185469E-2</v>
      </c>
      <c r="H182">
        <f t="shared" si="44"/>
        <v>8.3675898174463831E-2</v>
      </c>
      <c r="I182">
        <f t="shared" si="45"/>
        <v>8.5513847261695752E-2</v>
      </c>
      <c r="J182">
        <f t="shared" si="37"/>
        <v>8.5655783079031253E-2</v>
      </c>
      <c r="K182">
        <f t="shared" si="38"/>
        <v>0.13565578307903126</v>
      </c>
      <c r="L182">
        <f t="shared" si="39"/>
        <v>3.565578307903125E-2</v>
      </c>
      <c r="M182">
        <f t="shared" si="46"/>
        <v>8.1470359269785533E-2</v>
      </c>
      <c r="N182">
        <f t="shared" si="49"/>
        <v>3.565578307903125E-2</v>
      </c>
      <c r="O182">
        <f t="shared" si="40"/>
        <v>0.1379086978539954</v>
      </c>
      <c r="P182">
        <f t="shared" si="47"/>
        <v>3.5325603692635141E-2</v>
      </c>
      <c r="Q182">
        <f t="shared" si="48"/>
        <v>0.13874046286808298</v>
      </c>
    </row>
    <row r="183" spans="1:17" x14ac:dyDescent="0.45">
      <c r="A183">
        <v>0.880000000000001</v>
      </c>
      <c r="B183">
        <f t="shared" si="41"/>
        <v>2.2286568591761105E-2</v>
      </c>
      <c r="C183">
        <f t="shared" si="42"/>
        <v>0.13771343140823888</v>
      </c>
      <c r="D183">
        <f t="shared" si="43"/>
        <v>8.2056915042197046E-2</v>
      </c>
      <c r="E183">
        <f t="shared" si="34"/>
        <v>8.3807026199346032E-2</v>
      </c>
      <c r="F183">
        <f t="shared" si="35"/>
        <v>9.0611972606234159E-2</v>
      </c>
      <c r="G183">
        <f t="shared" si="36"/>
        <v>8.0836706234978531E-2</v>
      </c>
      <c r="H183">
        <f t="shared" si="44"/>
        <v>8.3726913948646869E-2</v>
      </c>
      <c r="I183">
        <f t="shared" si="45"/>
        <v>8.559037092297031E-2</v>
      </c>
      <c r="J183">
        <f t="shared" si="37"/>
        <v>8.5710539299019062E-2</v>
      </c>
      <c r="K183">
        <f t="shared" si="38"/>
        <v>0.13571053929901905</v>
      </c>
      <c r="L183">
        <f t="shared" si="39"/>
        <v>3.5710539299019059E-2</v>
      </c>
      <c r="M183">
        <f t="shared" si="46"/>
        <v>8.1490765579458752E-2</v>
      </c>
      <c r="N183">
        <f t="shared" si="49"/>
        <v>3.5710539299019059E-2</v>
      </c>
      <c r="O183">
        <f t="shared" si="40"/>
        <v>0.13771343140823888</v>
      </c>
      <c r="P183">
        <f t="shared" si="47"/>
        <v>3.5425748587962699E-2</v>
      </c>
      <c r="Q183">
        <f t="shared" si="48"/>
        <v>0.13852466007095693</v>
      </c>
    </row>
    <row r="184" spans="1:17" x14ac:dyDescent="0.45">
      <c r="A184">
        <v>0.88500000000000101</v>
      </c>
      <c r="B184">
        <f t="shared" si="41"/>
        <v>2.2477013891793948E-2</v>
      </c>
      <c r="C184">
        <f t="shared" si="42"/>
        <v>0.13752298610820607</v>
      </c>
      <c r="D184">
        <f t="shared" si="43"/>
        <v>8.2006129628854951E-2</v>
      </c>
      <c r="E184">
        <f t="shared" si="34"/>
        <v>8.3836724666503507E-2</v>
      </c>
      <c r="F184">
        <f t="shared" si="35"/>
        <v>9.1062750411906798E-2</v>
      </c>
      <c r="G184">
        <f t="shared" si="36"/>
        <v>8.082438786703447E-2</v>
      </c>
      <c r="H184">
        <f t="shared" si="44"/>
        <v>8.3770522052687507E-2</v>
      </c>
      <c r="I184">
        <f t="shared" si="45"/>
        <v>8.5655783079031253E-2</v>
      </c>
      <c r="J184">
        <f t="shared" si="37"/>
        <v>8.5755086999755259E-2</v>
      </c>
      <c r="K184">
        <f t="shared" si="38"/>
        <v>0.13575508699975525</v>
      </c>
      <c r="L184">
        <f t="shared" si="39"/>
        <v>3.5755086999755256E-2</v>
      </c>
      <c r="M184">
        <f t="shared" si="46"/>
        <v>8.1508208821074998E-2</v>
      </c>
      <c r="N184">
        <f t="shared" si="49"/>
        <v>3.5755086999755256E-2</v>
      </c>
      <c r="O184">
        <f t="shared" si="40"/>
        <v>0.13752298610820607</v>
      </c>
      <c r="P184">
        <f t="shared" si="47"/>
        <v>3.551384726169575E-2</v>
      </c>
      <c r="Q184">
        <f t="shared" si="48"/>
        <v>0.13831418546387642</v>
      </c>
    </row>
    <row r="185" spans="1:17" x14ac:dyDescent="0.45">
      <c r="A185">
        <v>0.89000000000000101</v>
      </c>
      <c r="B185">
        <f t="shared" si="41"/>
        <v>2.2662757080615187E-2</v>
      </c>
      <c r="C185">
        <f t="shared" si="42"/>
        <v>0.13733724291938482</v>
      </c>
      <c r="D185">
        <f t="shared" si="43"/>
        <v>8.1956598111835949E-2</v>
      </c>
      <c r="E185">
        <f t="shared" si="34"/>
        <v>8.3859910168491023E-2</v>
      </c>
      <c r="F185">
        <f t="shared" si="35"/>
        <v>9.1488614264827114E-2</v>
      </c>
      <c r="G185">
        <f t="shared" si="36"/>
        <v>8.0811315251228283E-2</v>
      </c>
      <c r="H185">
        <f t="shared" si="44"/>
        <v>8.3807026199346032E-2</v>
      </c>
      <c r="I185">
        <f t="shared" si="45"/>
        <v>8.5710539299019062E-2</v>
      </c>
      <c r="J185">
        <f t="shared" si="37"/>
        <v>8.5789865252736533E-2</v>
      </c>
      <c r="K185">
        <f t="shared" si="38"/>
        <v>0.13578986525273654</v>
      </c>
      <c r="L185">
        <f t="shared" si="39"/>
        <v>3.578986525273653E-2</v>
      </c>
      <c r="M185">
        <f t="shared" si="46"/>
        <v>8.1522810479738417E-2</v>
      </c>
      <c r="N185">
        <f t="shared" si="49"/>
        <v>3.578986525273653E-2</v>
      </c>
      <c r="O185">
        <f t="shared" si="40"/>
        <v>0.13733724291938482</v>
      </c>
      <c r="P185">
        <f t="shared" si="47"/>
        <v>3.5590370922970307E-2</v>
      </c>
      <c r="Q185">
        <f t="shared" si="48"/>
        <v>0.13810890749336058</v>
      </c>
    </row>
    <row r="186" spans="1:17" x14ac:dyDescent="0.45">
      <c r="A186">
        <v>0.89500000000000102</v>
      </c>
      <c r="B186">
        <f t="shared" si="41"/>
        <v>2.2843914253764294E-2</v>
      </c>
      <c r="C186">
        <f t="shared" si="42"/>
        <v>0.13715608574623572</v>
      </c>
      <c r="D186">
        <f t="shared" si="43"/>
        <v>8.1908289532329523E-2</v>
      </c>
      <c r="E186">
        <f t="shared" si="34"/>
        <v>8.3876869741038543E-2</v>
      </c>
      <c r="F186">
        <f t="shared" si="35"/>
        <v>9.1889936220306015E-2</v>
      </c>
      <c r="G186">
        <f t="shared" si="36"/>
        <v>8.079756631473653E-2</v>
      </c>
      <c r="H186">
        <f t="shared" si="44"/>
        <v>8.3836724666503507E-2</v>
      </c>
      <c r="I186">
        <f t="shared" si="45"/>
        <v>8.5755086999755259E-2</v>
      </c>
      <c r="J186">
        <f t="shared" si="37"/>
        <v>8.5815304611557813E-2</v>
      </c>
      <c r="K186">
        <f t="shared" si="38"/>
        <v>0.13581530461155783</v>
      </c>
      <c r="L186">
        <f t="shared" si="39"/>
        <v>3.5815304611557811E-2</v>
      </c>
      <c r="M186">
        <f t="shared" si="46"/>
        <v>8.1534689866601395E-2</v>
      </c>
      <c r="N186">
        <f t="shared" si="49"/>
        <v>3.5815304611557811E-2</v>
      </c>
      <c r="O186">
        <f t="shared" si="40"/>
        <v>0.13715608574623572</v>
      </c>
      <c r="P186">
        <f t="shared" si="47"/>
        <v>3.565578307903125E-2</v>
      </c>
      <c r="Q186">
        <f t="shared" si="48"/>
        <v>0.1379086978539954</v>
      </c>
    </row>
    <row r="187" spans="1:17" x14ac:dyDescent="0.45">
      <c r="A187">
        <v>0.90000000000000102</v>
      </c>
      <c r="B187">
        <f t="shared" si="41"/>
        <v>2.3020598640371648E-2</v>
      </c>
      <c r="C187">
        <f t="shared" si="42"/>
        <v>0.13697940135962836</v>
      </c>
      <c r="D187">
        <f t="shared" si="43"/>
        <v>8.1861173695900902E-2</v>
      </c>
      <c r="E187">
        <f t="shared" si="34"/>
        <v>8.3887884639330515E-2</v>
      </c>
      <c r="F187">
        <f t="shared" si="35"/>
        <v>9.2267100392165916E-2</v>
      </c>
      <c r="G187">
        <f t="shared" si="36"/>
        <v>8.0783214892029692E-2</v>
      </c>
      <c r="H187">
        <f t="shared" si="44"/>
        <v>8.3859910168491023E-2</v>
      </c>
      <c r="I187">
        <f t="shared" si="45"/>
        <v>8.5789865252736533E-2</v>
      </c>
      <c r="J187">
        <f t="shared" si="37"/>
        <v>8.5831826958995786E-2</v>
      </c>
      <c r="K187">
        <f t="shared" si="38"/>
        <v>0.13583182695899579</v>
      </c>
      <c r="L187">
        <f t="shared" si="39"/>
        <v>3.5831826958995783E-2</v>
      </c>
      <c r="M187">
        <f t="shared" si="46"/>
        <v>8.1543964067396404E-2</v>
      </c>
      <c r="N187">
        <f t="shared" si="49"/>
        <v>3.5831826958995783E-2</v>
      </c>
      <c r="O187">
        <f t="shared" si="40"/>
        <v>0.13697940135962836</v>
      </c>
      <c r="P187">
        <f t="shared" si="47"/>
        <v>3.5710539299019059E-2</v>
      </c>
      <c r="Q187">
        <f t="shared" si="48"/>
        <v>0.13771343140823888</v>
      </c>
    </row>
    <row r="188" spans="1:17" x14ac:dyDescent="0.45">
      <c r="A188">
        <v>0.90500000000000103</v>
      </c>
      <c r="B188">
        <f t="shared" si="41"/>
        <v>2.3192920673930445E-2</v>
      </c>
      <c r="C188">
        <f t="shared" si="42"/>
        <v>0.13680707932606956</v>
      </c>
      <c r="D188">
        <f t="shared" si="43"/>
        <v>8.1815221153618556E-2</v>
      </c>
      <c r="E188">
        <f t="shared" si="34"/>
        <v>8.3893230248663964E-2</v>
      </c>
      <c r="F188">
        <f t="shared" si="35"/>
        <v>9.2620502200853647E-2</v>
      </c>
      <c r="G188">
        <f t="shared" si="36"/>
        <v>8.0768330864993243E-2</v>
      </c>
      <c r="H188">
        <f t="shared" si="44"/>
        <v>8.3876869741038543E-2</v>
      </c>
      <c r="I188">
        <f t="shared" si="45"/>
        <v>8.5815304611557813E-2</v>
      </c>
      <c r="J188">
        <f t="shared" si="37"/>
        <v>8.5839845372995952E-2</v>
      </c>
      <c r="K188">
        <f t="shared" si="38"/>
        <v>0.13583984537299595</v>
      </c>
      <c r="L188">
        <f t="shared" si="39"/>
        <v>3.5839845372995949E-2</v>
      </c>
      <c r="M188">
        <f t="shared" si="46"/>
        <v>8.1550747896415421E-2</v>
      </c>
      <c r="N188">
        <f t="shared" si="49"/>
        <v>3.5839845372995949E-2</v>
      </c>
      <c r="O188">
        <f t="shared" si="40"/>
        <v>0.13680707932606956</v>
      </c>
      <c r="P188">
        <f t="shared" si="47"/>
        <v>3.5755086999755256E-2</v>
      </c>
      <c r="Q188">
        <f t="shared" si="48"/>
        <v>0.13752298610820607</v>
      </c>
    </row>
    <row r="189" spans="1:17" x14ac:dyDescent="0.45">
      <c r="A189">
        <v>0.91000000000000103</v>
      </c>
      <c r="B189">
        <f t="shared" si="41"/>
        <v>2.3360988061321225E-2</v>
      </c>
      <c r="C189">
        <f t="shared" si="42"/>
        <v>0.13663901193867878</v>
      </c>
      <c r="D189">
        <f t="shared" si="43"/>
        <v>8.1770403183647672E-2</v>
      </c>
      <c r="E189">
        <f t="shared" si="34"/>
        <v>8.3893176007212064E-2</v>
      </c>
      <c r="F189">
        <f t="shared" si="35"/>
        <v>9.2950547634279027E-2</v>
      </c>
      <c r="G189">
        <f t="shared" si="36"/>
        <v>8.0752980301033908E-2</v>
      </c>
      <c r="H189">
        <f t="shared" si="44"/>
        <v>8.3887884639330515E-2</v>
      </c>
      <c r="I189">
        <f t="shared" si="45"/>
        <v>8.5831826958995786E-2</v>
      </c>
      <c r="J189">
        <f t="shared" si="37"/>
        <v>8.5839764010818081E-2</v>
      </c>
      <c r="K189">
        <f t="shared" si="38"/>
        <v>0.1358397640108181</v>
      </c>
      <c r="L189">
        <f t="shared" si="39"/>
        <v>3.5839764010818079E-2</v>
      </c>
      <c r="M189">
        <f t="shared" si="46"/>
        <v>8.1555153855732213E-2</v>
      </c>
      <c r="N189">
        <f t="shared" si="49"/>
        <v>3.5839764010818079E-2</v>
      </c>
      <c r="O189">
        <f t="shared" si="40"/>
        <v>0.13663901193867878</v>
      </c>
      <c r="P189">
        <f t="shared" si="47"/>
        <v>3.578986525273653E-2</v>
      </c>
      <c r="Q189">
        <f t="shared" si="48"/>
        <v>0.13733724291938482</v>
      </c>
    </row>
    <row r="190" spans="1:17" x14ac:dyDescent="0.45">
      <c r="A190">
        <v>0.91500000000000103</v>
      </c>
      <c r="B190">
        <f t="shared" si="41"/>
        <v>2.3524905850132144E-2</v>
      </c>
      <c r="C190">
        <f t="shared" si="42"/>
        <v>0.13647509414986786</v>
      </c>
      <c r="D190">
        <f t="shared" si="43"/>
        <v>8.1726691773298096E-2</v>
      </c>
      <c r="E190">
        <f t="shared" si="34"/>
        <v>8.3887985340405036E-2</v>
      </c>
      <c r="F190">
        <f t="shared" si="35"/>
        <v>9.3257652521694698E-2</v>
      </c>
      <c r="G190">
        <f t="shared" si="36"/>
        <v>8.0737225589041242E-2</v>
      </c>
      <c r="H190">
        <f t="shared" si="44"/>
        <v>8.3893230248663964E-2</v>
      </c>
      <c r="I190">
        <f t="shared" si="45"/>
        <v>8.5839845372995952E-2</v>
      </c>
      <c r="J190">
        <f t="shared" si="37"/>
        <v>8.5831978010607546E-2</v>
      </c>
      <c r="K190">
        <f t="shared" si="38"/>
        <v>0.13583197801060753</v>
      </c>
      <c r="L190">
        <f t="shared" si="39"/>
        <v>3.5831978010607543E-2</v>
      </c>
      <c r="M190">
        <f t="shared" si="46"/>
        <v>8.1557292099465592E-2</v>
      </c>
      <c r="N190">
        <f t="shared" si="49"/>
        <v>3.5831978010607543E-2</v>
      </c>
      <c r="O190">
        <f t="shared" si="40"/>
        <v>0.13647509414986786</v>
      </c>
      <c r="P190">
        <f t="shared" si="47"/>
        <v>3.5815304611557811E-2</v>
      </c>
      <c r="Q190">
        <f t="shared" si="48"/>
        <v>0.13715608574623572</v>
      </c>
    </row>
    <row r="191" spans="1:17" x14ac:dyDescent="0.45">
      <c r="A191">
        <v>0.92000000000000104</v>
      </c>
      <c r="B191">
        <f t="shared" si="41"/>
        <v>2.3684776494317217E-2</v>
      </c>
      <c r="C191">
        <f t="shared" si="42"/>
        <v>0.13631522350568279</v>
      </c>
      <c r="D191">
        <f t="shared" si="43"/>
        <v>8.168405960151541E-2</v>
      </c>
      <c r="E191">
        <f t="shared" si="34"/>
        <v>8.3877915606448195E-2</v>
      </c>
      <c r="F191">
        <f t="shared" si="35"/>
        <v>9.3542241820909672E-2</v>
      </c>
      <c r="G191">
        <f t="shared" si="36"/>
        <v>8.0721125573088193E-2</v>
      </c>
      <c r="H191">
        <f t="shared" si="44"/>
        <v>8.3893176007212064E-2</v>
      </c>
      <c r="I191">
        <f t="shared" si="45"/>
        <v>8.5839764010818081E-2</v>
      </c>
      <c r="J191">
        <f t="shared" si="37"/>
        <v>8.5816873409672298E-2</v>
      </c>
      <c r="K191">
        <f t="shared" si="38"/>
        <v>0.1358168734096723</v>
      </c>
      <c r="L191">
        <f t="shared" si="39"/>
        <v>3.5816873409672295E-2</v>
      </c>
      <c r="M191">
        <f t="shared" si="46"/>
        <v>8.1557270402884824E-2</v>
      </c>
      <c r="N191">
        <f t="shared" si="49"/>
        <v>3.5816873409672295E-2</v>
      </c>
      <c r="O191">
        <f t="shared" si="40"/>
        <v>0.13631522350568279</v>
      </c>
      <c r="P191">
        <f t="shared" si="47"/>
        <v>3.5831826958995783E-2</v>
      </c>
      <c r="Q191">
        <f t="shared" si="48"/>
        <v>0.13697940135962836</v>
      </c>
    </row>
    <row r="192" spans="1:17" x14ac:dyDescent="0.45">
      <c r="A192">
        <v>0.92500000000000104</v>
      </c>
      <c r="B192">
        <f t="shared" si="41"/>
        <v>2.3840699918233274E-2</v>
      </c>
      <c r="C192">
        <f t="shared" si="42"/>
        <v>0.13615930008176674</v>
      </c>
      <c r="D192">
        <f t="shared" si="43"/>
        <v>8.1642480021804464E-2</v>
      </c>
      <c r="E192">
        <f t="shared" si="34"/>
        <v>8.3863218052505975E-2</v>
      </c>
      <c r="F192">
        <f t="shared" si="35"/>
        <v>9.3804748919107464E-2</v>
      </c>
      <c r="G192">
        <f t="shared" si="36"/>
        <v>8.070473568376639E-2</v>
      </c>
      <c r="H192">
        <f t="shared" si="44"/>
        <v>8.3887985340405036E-2</v>
      </c>
      <c r="I192">
        <f t="shared" si="45"/>
        <v>8.5831978010607546E-2</v>
      </c>
      <c r="J192">
        <f t="shared" si="37"/>
        <v>8.5794827078758962E-2</v>
      </c>
      <c r="K192">
        <f t="shared" si="38"/>
        <v>0.13579482707875895</v>
      </c>
      <c r="L192">
        <f t="shared" si="39"/>
        <v>3.5794827078758959E-2</v>
      </c>
      <c r="M192">
        <f t="shared" si="46"/>
        <v>8.155519413616201E-2</v>
      </c>
      <c r="N192">
        <f t="shared" si="49"/>
        <v>3.5794827078758959E-2</v>
      </c>
      <c r="O192">
        <f t="shared" si="40"/>
        <v>0.13615930008176674</v>
      </c>
      <c r="P192">
        <f t="shared" si="47"/>
        <v>3.5839845372995949E-2</v>
      </c>
      <c r="Q192">
        <f t="shared" si="48"/>
        <v>0.13680707932606956</v>
      </c>
    </row>
    <row r="193" spans="1:17" x14ac:dyDescent="0.45">
      <c r="A193">
        <v>0.93000000000000105</v>
      </c>
      <c r="B193">
        <f t="shared" si="41"/>
        <v>2.3992773579095988E-2</v>
      </c>
      <c r="C193">
        <f t="shared" si="42"/>
        <v>0.13600722642090401</v>
      </c>
      <c r="D193">
        <f t="shared" si="43"/>
        <v>8.160192704557441E-2</v>
      </c>
      <c r="E193">
        <f t="shared" si="34"/>
        <v>8.3844137781089595E-2</v>
      </c>
      <c r="F193">
        <f t="shared" si="35"/>
        <v>9.4045614947517592E-2</v>
      </c>
      <c r="G193">
        <f t="shared" si="36"/>
        <v>8.0688108067064016E-2</v>
      </c>
      <c r="H193">
        <f t="shared" si="44"/>
        <v>8.3877915606448195E-2</v>
      </c>
      <c r="I193">
        <f t="shared" si="45"/>
        <v>8.5816873409672298E-2</v>
      </c>
      <c r="J193">
        <f t="shared" si="37"/>
        <v>8.5766206671634385E-2</v>
      </c>
      <c r="K193">
        <f t="shared" si="38"/>
        <v>0.13576620667163439</v>
      </c>
      <c r="L193">
        <f t="shared" si="39"/>
        <v>3.5766206671634382E-2</v>
      </c>
      <c r="M193">
        <f t="shared" si="46"/>
        <v>8.1551166242579284E-2</v>
      </c>
      <c r="N193">
        <f t="shared" si="49"/>
        <v>3.5766206671634382E-2</v>
      </c>
      <c r="O193">
        <f t="shared" si="40"/>
        <v>0.13600722642090401</v>
      </c>
      <c r="P193">
        <f t="shared" si="47"/>
        <v>3.5839764010818079E-2</v>
      </c>
      <c r="Q193">
        <f t="shared" si="48"/>
        <v>0.13663901193867878</v>
      </c>
    </row>
    <row r="194" spans="1:17" x14ac:dyDescent="0.45">
      <c r="A194">
        <v>0.93500000000000105</v>
      </c>
      <c r="B194">
        <f t="shared" si="41"/>
        <v>2.4141092527893829E-2</v>
      </c>
      <c r="C194">
        <f t="shared" si="42"/>
        <v>0.13585890747210616</v>
      </c>
      <c r="D194">
        <f t="shared" si="43"/>
        <v>8.1562375325894984E-2</v>
      </c>
      <c r="E194">
        <f t="shared" si="34"/>
        <v>8.3820913726195087E-2</v>
      </c>
      <c r="F194">
        <f t="shared" si="35"/>
        <v>9.42652881101681E-2</v>
      </c>
      <c r="G194">
        <f t="shared" si="36"/>
        <v>8.0671291710705501E-2</v>
      </c>
      <c r="H194">
        <f t="shared" si="44"/>
        <v>8.3863218052505975E-2</v>
      </c>
      <c r="I194">
        <f t="shared" si="45"/>
        <v>8.5794827078758962E-2</v>
      </c>
      <c r="J194">
        <f t="shared" si="37"/>
        <v>8.573137058929263E-2</v>
      </c>
      <c r="K194">
        <f t="shared" si="38"/>
        <v>0.13573137058929263</v>
      </c>
      <c r="L194">
        <f t="shared" si="39"/>
        <v>3.5731370589292627E-2</v>
      </c>
      <c r="M194">
        <f t="shared" si="46"/>
        <v>8.1545287221002391E-2</v>
      </c>
      <c r="N194">
        <f t="shared" si="49"/>
        <v>3.5731370589292627E-2</v>
      </c>
      <c r="O194">
        <f t="shared" si="40"/>
        <v>0.13585890747210616</v>
      </c>
      <c r="P194">
        <f t="shared" si="47"/>
        <v>3.5831978010607543E-2</v>
      </c>
      <c r="Q194">
        <f t="shared" si="48"/>
        <v>0.13647509414986786</v>
      </c>
    </row>
    <row r="195" spans="1:17" x14ac:dyDescent="0.45">
      <c r="A195">
        <v>0.94000000000000095</v>
      </c>
      <c r="B195">
        <f t="shared" si="41"/>
        <v>2.4285749468797996E-2</v>
      </c>
      <c r="C195">
        <f t="shared" si="42"/>
        <v>0.13571425053120201</v>
      </c>
      <c r="D195">
        <f t="shared" si="43"/>
        <v>8.1523800141653877E-2</v>
      </c>
      <c r="E195">
        <f t="shared" si="34"/>
        <v>8.3793778638747637E-2</v>
      </c>
      <c r="F195">
        <f t="shared" si="35"/>
        <v>9.4464223026925864E-2</v>
      </c>
      <c r="G195">
        <f t="shared" si="36"/>
        <v>8.0654332567882334E-2</v>
      </c>
      <c r="H195">
        <f t="shared" si="44"/>
        <v>8.3844137781089595E-2</v>
      </c>
      <c r="I195">
        <f t="shared" si="45"/>
        <v>8.5766206671634385E-2</v>
      </c>
      <c r="J195">
        <f t="shared" si="37"/>
        <v>8.5690667958121455E-2</v>
      </c>
      <c r="K195">
        <f t="shared" si="38"/>
        <v>0.13569066795812146</v>
      </c>
      <c r="L195">
        <f t="shared" si="39"/>
        <v>3.5690667958121453E-2</v>
      </c>
      <c r="M195">
        <f t="shared" si="46"/>
        <v>8.1537655112435839E-2</v>
      </c>
      <c r="N195">
        <f t="shared" si="49"/>
        <v>3.5690667958121453E-2</v>
      </c>
      <c r="O195">
        <f t="shared" si="40"/>
        <v>0.13571425053120201</v>
      </c>
      <c r="P195">
        <f t="shared" si="47"/>
        <v>3.5816873409672295E-2</v>
      </c>
      <c r="Q195">
        <f t="shared" si="48"/>
        <v>0.13631522350568279</v>
      </c>
    </row>
    <row r="196" spans="1:17" x14ac:dyDescent="0.45">
      <c r="A196">
        <v>0.94500000000000095</v>
      </c>
      <c r="B196">
        <f t="shared" si="41"/>
        <v>2.4426834817105517E-2</v>
      </c>
      <c r="C196">
        <f t="shared" si="42"/>
        <v>0.13557316518289447</v>
      </c>
      <c r="D196">
        <f t="shared" si="43"/>
        <v>8.1486177382105202E-2</v>
      </c>
      <c r="E196">
        <f t="shared" si="34"/>
        <v>8.3762959080917604E-2</v>
      </c>
      <c r="F196">
        <f t="shared" si="35"/>
        <v>9.4642880091011419E-2</v>
      </c>
      <c r="G196">
        <f t="shared" si="36"/>
        <v>8.0637273678314705E-2</v>
      </c>
      <c r="H196">
        <f t="shared" si="44"/>
        <v>8.3820913726195087E-2</v>
      </c>
      <c r="I196">
        <f t="shared" si="45"/>
        <v>8.573137058929263E-2</v>
      </c>
      <c r="J196">
        <f t="shared" si="37"/>
        <v>8.5644438621376412E-2</v>
      </c>
      <c r="K196">
        <f t="shared" si="38"/>
        <v>0.13564443862137643</v>
      </c>
      <c r="L196">
        <f t="shared" si="39"/>
        <v>3.5644438621376409E-2</v>
      </c>
      <c r="M196">
        <f t="shared" si="46"/>
        <v>8.1528365490478039E-2</v>
      </c>
      <c r="N196">
        <f t="shared" si="49"/>
        <v>3.5644438621376409E-2</v>
      </c>
      <c r="O196">
        <f t="shared" si="40"/>
        <v>0.13557316518289447</v>
      </c>
      <c r="P196">
        <f t="shared" si="47"/>
        <v>3.5794827078758959E-2</v>
      </c>
      <c r="Q196">
        <f t="shared" si="48"/>
        <v>0.13615930008176674</v>
      </c>
    </row>
    <row r="197" spans="1:17" x14ac:dyDescent="0.45">
      <c r="A197">
        <v>0.95000000000000095</v>
      </c>
      <c r="B197">
        <f t="shared" si="41"/>
        <v>2.4564436755751803E-2</v>
      </c>
      <c r="C197">
        <f t="shared" si="42"/>
        <v>0.13543556324424821</v>
      </c>
      <c r="D197">
        <f t="shared" si="43"/>
        <v>8.1449483531799524E-2</v>
      </c>
      <c r="E197">
        <f t="shared" si="34"/>
        <v>8.3728675428883043E-2</v>
      </c>
      <c r="F197">
        <f t="shared" si="35"/>
        <v>9.4801724841154469E-2</v>
      </c>
      <c r="G197">
        <f t="shared" si="36"/>
        <v>8.0620155286593109E-2</v>
      </c>
      <c r="H197">
        <f t="shared" si="44"/>
        <v>8.3793778638747637E-2</v>
      </c>
      <c r="I197">
        <f t="shared" si="45"/>
        <v>8.5690667958121455E-2</v>
      </c>
      <c r="J197">
        <f t="shared" si="37"/>
        <v>8.5593013143324556E-2</v>
      </c>
      <c r="K197">
        <f t="shared" si="38"/>
        <v>0.13559301314332456</v>
      </c>
      <c r="L197">
        <f t="shared" si="39"/>
        <v>3.5593013143324553E-2</v>
      </c>
      <c r="M197">
        <f t="shared" si="46"/>
        <v>8.1517511455499056E-2</v>
      </c>
      <c r="N197">
        <f t="shared" si="49"/>
        <v>3.5593013143324553E-2</v>
      </c>
      <c r="O197">
        <f t="shared" si="40"/>
        <v>0.13543556324424821</v>
      </c>
      <c r="P197">
        <f t="shared" si="47"/>
        <v>3.5766206671634382E-2</v>
      </c>
      <c r="Q197">
        <f t="shared" si="48"/>
        <v>0.13600722642090401</v>
      </c>
    </row>
    <row r="198" spans="1:17" x14ac:dyDescent="0.45">
      <c r="A198">
        <v>0.95500000000000096</v>
      </c>
      <c r="B198">
        <f t="shared" si="41"/>
        <v>2.4698641290427856E-2</v>
      </c>
      <c r="C198">
        <f t="shared" si="42"/>
        <v>0.13530135870957216</v>
      </c>
      <c r="D198">
        <f t="shared" si="43"/>
        <v>8.1413695655885909E-2</v>
      </c>
      <c r="E198">
        <f t="shared" si="34"/>
        <v>8.369114188362306E-2</v>
      </c>
      <c r="F198">
        <f t="shared" si="35"/>
        <v>9.4941227348537674E-2</v>
      </c>
      <c r="G198">
        <f t="shared" si="36"/>
        <v>8.0603014957757527E-2</v>
      </c>
      <c r="H198">
        <f t="shared" si="44"/>
        <v>8.3762959080917604E-2</v>
      </c>
      <c r="I198">
        <f t="shared" si="45"/>
        <v>8.5644438621376412E-2</v>
      </c>
      <c r="J198">
        <f t="shared" si="37"/>
        <v>8.5536712825434597E-2</v>
      </c>
      <c r="K198">
        <f t="shared" si="38"/>
        <v>0.13553671282543461</v>
      </c>
      <c r="L198">
        <f t="shared" si="39"/>
        <v>3.5536712825434594E-2</v>
      </c>
      <c r="M198">
        <f t="shared" si="46"/>
        <v>8.1505183632367043E-2</v>
      </c>
      <c r="N198">
        <f t="shared" si="49"/>
        <v>3.5536712825434594E-2</v>
      </c>
      <c r="O198">
        <f t="shared" si="40"/>
        <v>0.13530135870957216</v>
      </c>
      <c r="P198">
        <f t="shared" si="47"/>
        <v>3.5731370589292627E-2</v>
      </c>
      <c r="Q198">
        <f t="shared" si="48"/>
        <v>0.13585890747210616</v>
      </c>
    </row>
    <row r="199" spans="1:17" x14ac:dyDescent="0.45">
      <c r="A199">
        <v>0.96000000000000096</v>
      </c>
      <c r="B199">
        <f t="shared" si="41"/>
        <v>2.4829532303336552E-2</v>
      </c>
      <c r="C199">
        <f t="shared" si="42"/>
        <v>0.13517046769666347</v>
      </c>
      <c r="D199">
        <f t="shared" si="43"/>
        <v>8.1378791385776916E-2</v>
      </c>
      <c r="E199">
        <f t="shared" ref="E199:E262" si="50">P0-SIGN(DeltaThetaDeg)*EXP(-Xi*Wn*A199)*(COS(Wd*A199)-(Xi*Wn-1)/(Wd)*SIN(Wd*A199))*Ppeak</f>
        <v>8.3650566489336303E-2</v>
      </c>
      <c r="F199">
        <f t="shared" ref="F199:F262" si="51">P0-SIGN(DeltaThetaDeg)*EXP(-Ximin*Wnmin*A199)*(COS(Wdmin*A199)-(Ximin*Wnmin-1)/(Wdmin)*SIN(Wdmin*A199))*Ppeak</f>
        <v>9.5061861618656679E-2</v>
      </c>
      <c r="G199">
        <f t="shared" ref="G199:G262" si="52">P0-SIGN(DeltaThetaDeg)*EXP(-Ximax*Wnmax*A199)*(COS(Wdmax*A199)-(Ximax*Wnmax-1)/(Wdmax)*SIN(Wdmax*A199))*Ppeak</f>
        <v>8.058588769008046E-2</v>
      </c>
      <c r="H199">
        <f t="shared" si="44"/>
        <v>8.3728675428883043E-2</v>
      </c>
      <c r="I199">
        <f t="shared" si="45"/>
        <v>8.5593013143324556E-2</v>
      </c>
      <c r="J199">
        <f t="shared" ref="J199:J262" si="53">P0-SIGN(DeltaThetaDeg)*(1+Marge_haute)*EXP(-Xi*Wn*A199)*(COS(Wd*A199)-(Xi*Wn-1)/(Wd)*SIN(Wd*A199))*Ppeak</f>
        <v>8.5475849734004461E-2</v>
      </c>
      <c r="K199">
        <f t="shared" ref="K199:K262" si="54">J199-SIGN(DeltaThetaDeg)*Tunnel</f>
        <v>0.13547584973400445</v>
      </c>
      <c r="L199">
        <f t="shared" ref="L199:L262" si="55">J199+SIGN(DeltaThetaDeg)*Tunnel</f>
        <v>3.5475849734004458E-2</v>
      </c>
      <c r="M199">
        <f t="shared" si="46"/>
        <v>8.1491470171553212E-2</v>
      </c>
      <c r="N199">
        <f t="shared" si="49"/>
        <v>3.5475849734004458E-2</v>
      </c>
      <c r="O199">
        <f t="shared" ref="O199:O262" si="56">IF(SIGN(DeltaThetaDeg)=1,MIN(B199,$S$6-SIGN(DeltaThetaDeg)*$W$13,F199),MAX(G199,P0+Tunnel,C199))</f>
        <v>0.13517046769666347</v>
      </c>
      <c r="P199">
        <f t="shared" si="47"/>
        <v>3.5690667958121453E-2</v>
      </c>
      <c r="Q199">
        <f t="shared" si="48"/>
        <v>0.13571425053120201</v>
      </c>
    </row>
    <row r="200" spans="1:17" x14ac:dyDescent="0.45">
      <c r="A200">
        <v>0.96500000000000097</v>
      </c>
      <c r="B200">
        <f t="shared" si="41"/>
        <v>2.4957191605621848E-2</v>
      </c>
      <c r="C200">
        <f t="shared" si="42"/>
        <v>0.13504280839437816</v>
      </c>
      <c r="D200">
        <f t="shared" si="43"/>
        <v>8.1344748905167505E-2</v>
      </c>
      <c r="E200">
        <f t="shared" si="50"/>
        <v>8.3607151159088067E-2</v>
      </c>
      <c r="F200">
        <f t="shared" si="51"/>
        <v>9.5164105008205976E-2</v>
      </c>
      <c r="G200">
        <f t="shared" si="52"/>
        <v>8.0568806025027945E-2</v>
      </c>
      <c r="H200">
        <f t="shared" si="44"/>
        <v>8.369114188362306E-2</v>
      </c>
      <c r="I200">
        <f t="shared" si="45"/>
        <v>8.5536712825434597E-2</v>
      </c>
      <c r="J200">
        <f t="shared" si="53"/>
        <v>8.5410726738632106E-2</v>
      </c>
      <c r="K200">
        <f t="shared" si="54"/>
        <v>0.13541072673863211</v>
      </c>
      <c r="L200">
        <f t="shared" si="55"/>
        <v>3.5410726738632103E-2</v>
      </c>
      <c r="M200">
        <f t="shared" si="46"/>
        <v>8.1476456753449222E-2</v>
      </c>
      <c r="N200">
        <f t="shared" si="49"/>
        <v>3.5410726738632103E-2</v>
      </c>
      <c r="O200">
        <f t="shared" si="56"/>
        <v>0.13504280839437816</v>
      </c>
      <c r="P200">
        <f t="shared" si="47"/>
        <v>3.5644438621376409E-2</v>
      </c>
      <c r="Q200">
        <f t="shared" si="48"/>
        <v>0.13557316518289447</v>
      </c>
    </row>
    <row r="201" spans="1:17" x14ac:dyDescent="0.45">
      <c r="A201">
        <v>0.97000000000000097</v>
      </c>
      <c r="B201">
        <f t="shared" ref="B201:B264" si="57">P0-Ppeak*(1+Marge_haute)*EXP(-Sigma*A199)-Tunnel</f>
        <v>2.5081698988503306E-2</v>
      </c>
      <c r="C201">
        <f t="shared" ref="C201:C264" si="58">P0+Ppeak*(1+Marge_haute)*EXP(-Sigma*A199)+Tunnel</f>
        <v>0.13491830101149671</v>
      </c>
      <c r="D201">
        <f t="shared" ref="D201:D264" si="59">P0-SIGN(DeltaThetaDeg)*Marge_basse*Ppeak*EXP(-Sigma*A199)</f>
        <v>8.1311546936399123E-2</v>
      </c>
      <c r="E201">
        <f t="shared" si="50"/>
        <v>8.3561091707299931E-2</v>
      </c>
      <c r="F201">
        <f t="shared" si="51"/>
        <v>9.5248437657082546E-2</v>
      </c>
      <c r="G201">
        <f t="shared" si="52"/>
        <v>8.055180015437953E-2</v>
      </c>
      <c r="H201">
        <f t="shared" ref="H201:H264" si="60">P0-SIGN(DeltaThetaDeg)*EXP(-Xi*Wn*A199)*(COS(Wd*A199)-(Xi*Wn-1)/(Wd)*SIN(Wd*A199))*Ppeak</f>
        <v>8.3650566489336303E-2</v>
      </c>
      <c r="I201">
        <f t="shared" ref="I201:I264" si="61">P0-SIGN(DeltaThetaDeg)*(1+Marge_haute)*EXP(-Xi*Wn*A199)*(COS(Wd*A199)-(Xi*Wn-1)/(Wd)*SIN(Wd*A199))*Ppeak</f>
        <v>8.5475849734004461E-2</v>
      </c>
      <c r="J201">
        <f t="shared" si="53"/>
        <v>8.5341637560949896E-2</v>
      </c>
      <c r="K201">
        <f t="shared" si="54"/>
        <v>0.13534163756094991</v>
      </c>
      <c r="L201">
        <f t="shared" si="55"/>
        <v>3.5341637560949893E-2</v>
      </c>
      <c r="M201">
        <f t="shared" ref="M201:M264" si="62">P0-SIGN(DeltaThetaDeg)*Marge_basse*EXP(-Xi*Wn*A199)*(COS(Wd*A199)-(Xi*Wn-1)/(Wd)*SIN(Wd*A199))*Ppeak</f>
        <v>8.1460226595734528E-2</v>
      </c>
      <c r="N201">
        <f t="shared" si="49"/>
        <v>3.5341637560949893E-2</v>
      </c>
      <c r="O201">
        <f t="shared" si="56"/>
        <v>0.13491830101149671</v>
      </c>
      <c r="P201">
        <f t="shared" si="47"/>
        <v>3.5593013143324553E-2</v>
      </c>
      <c r="Q201">
        <f t="shared" si="48"/>
        <v>0.13543556324424821</v>
      </c>
    </row>
    <row r="202" spans="1:17" x14ac:dyDescent="0.45">
      <c r="A202">
        <v>0.97500000000000098</v>
      </c>
      <c r="B202">
        <f t="shared" si="57"/>
        <v>2.5203132273148299E-2</v>
      </c>
      <c r="C202">
        <f t="shared" si="58"/>
        <v>0.1347968677268517</v>
      </c>
      <c r="D202">
        <f t="shared" si="59"/>
        <v>8.1279164727160458E-2</v>
      </c>
      <c r="E202">
        <f t="shared" si="50"/>
        <v>8.3512577888705114E-2</v>
      </c>
      <c r="F202">
        <f t="shared" si="51"/>
        <v>9.5315341935581332E-2</v>
      </c>
      <c r="G202">
        <f t="shared" si="52"/>
        <v>8.0534898024495719E-2</v>
      </c>
      <c r="H202">
        <f t="shared" si="60"/>
        <v>8.3607151159088067E-2</v>
      </c>
      <c r="I202">
        <f t="shared" si="61"/>
        <v>8.5410726738632106E-2</v>
      </c>
      <c r="J202">
        <f t="shared" si="53"/>
        <v>8.5268866833057677E-2</v>
      </c>
      <c r="K202">
        <f t="shared" si="54"/>
        <v>0.13526886683305767</v>
      </c>
      <c r="L202">
        <f t="shared" si="55"/>
        <v>3.5268866833057674E-2</v>
      </c>
      <c r="M202">
        <f t="shared" si="62"/>
        <v>8.1442860463635233E-2</v>
      </c>
      <c r="N202">
        <f t="shared" si="49"/>
        <v>3.5268866833057674E-2</v>
      </c>
      <c r="O202">
        <f t="shared" si="56"/>
        <v>0.1347968677268517</v>
      </c>
      <c r="P202">
        <f t="shared" si="47"/>
        <v>3.5536712825434594E-2</v>
      </c>
      <c r="Q202">
        <f t="shared" si="48"/>
        <v>0.13530135870957216</v>
      </c>
    </row>
    <row r="203" spans="1:17" x14ac:dyDescent="0.45">
      <c r="A203">
        <v>0.98000000000000098</v>
      </c>
      <c r="B203">
        <f t="shared" si="57"/>
        <v>2.5321567359312722E-2</v>
      </c>
      <c r="C203">
        <f t="shared" si="58"/>
        <v>0.1346784326406873</v>
      </c>
      <c r="D203">
        <f t="shared" si="59"/>
        <v>8.1247582037516614E-2</v>
      </c>
      <c r="E203">
        <f t="shared" si="50"/>
        <v>8.3461793443402946E-2</v>
      </c>
      <c r="F203">
        <f t="shared" si="51"/>
        <v>9.5365301906839672E-2</v>
      </c>
      <c r="G203">
        <f t="shared" si="52"/>
        <v>8.0518125437727128E-2</v>
      </c>
      <c r="H203">
        <f t="shared" si="60"/>
        <v>8.3561091707299931E-2</v>
      </c>
      <c r="I203">
        <f t="shared" si="61"/>
        <v>8.5341637560949896E-2</v>
      </c>
      <c r="J203">
        <f t="shared" si="53"/>
        <v>8.5192690165104418E-2</v>
      </c>
      <c r="K203">
        <f t="shared" si="54"/>
        <v>0.13519269016510443</v>
      </c>
      <c r="L203">
        <f t="shared" si="55"/>
        <v>3.5192690165104415E-2</v>
      </c>
      <c r="M203">
        <f t="shared" si="62"/>
        <v>8.1424436682919973E-2</v>
      </c>
      <c r="N203">
        <f t="shared" si="49"/>
        <v>3.5192690165104415E-2</v>
      </c>
      <c r="O203">
        <f t="shared" si="56"/>
        <v>0.1346784326406873</v>
      </c>
      <c r="P203">
        <f t="shared" ref="P203:P266" si="63">IF(EMT_simulation,N199,N203)</f>
        <v>3.5475849734004458E-2</v>
      </c>
      <c r="Q203">
        <f t="shared" ref="Q203:Q266" si="64">IF(EMT_simulation,O199,O203)</f>
        <v>0.13517046769666347</v>
      </c>
    </row>
    <row r="204" spans="1:17" x14ac:dyDescent="0.45">
      <c r="A204">
        <v>0.98500000000000099</v>
      </c>
      <c r="B204">
        <f t="shared" si="57"/>
        <v>2.5437078272780814E-2</v>
      </c>
      <c r="C204">
        <f t="shared" si="58"/>
        <v>0.13456292172721918</v>
      </c>
      <c r="D204">
        <f t="shared" si="59"/>
        <v>8.1216779127258457E-2</v>
      </c>
      <c r="E204">
        <f t="shared" si="50"/>
        <v>8.3408916147655332E-2</v>
      </c>
      <c r="F204">
        <f t="shared" si="51"/>
        <v>9.539880280457097E-2</v>
      </c>
      <c r="G204">
        <f t="shared" si="52"/>
        <v>8.0501506150966129E-2</v>
      </c>
      <c r="H204">
        <f t="shared" si="60"/>
        <v>8.3512577888705114E-2</v>
      </c>
      <c r="I204">
        <f t="shared" si="61"/>
        <v>8.5268866833057677E-2</v>
      </c>
      <c r="J204">
        <f t="shared" si="53"/>
        <v>8.511337422148299E-2</v>
      </c>
      <c r="K204">
        <f t="shared" si="54"/>
        <v>0.13511337422148301</v>
      </c>
      <c r="L204">
        <f t="shared" si="55"/>
        <v>3.5113374221482987E-2</v>
      </c>
      <c r="M204">
        <f t="shared" si="62"/>
        <v>8.1405031155482047E-2</v>
      </c>
      <c r="N204">
        <f t="shared" si="49"/>
        <v>3.5113374221482987E-2</v>
      </c>
      <c r="O204">
        <f t="shared" si="56"/>
        <v>0.13456292172721918</v>
      </c>
      <c r="P204">
        <f t="shared" si="63"/>
        <v>3.5410726738632103E-2</v>
      </c>
      <c r="Q204">
        <f t="shared" si="64"/>
        <v>0.13504280839437816</v>
      </c>
    </row>
    <row r="205" spans="1:17" x14ac:dyDescent="0.45">
      <c r="A205">
        <v>0.99000000000000099</v>
      </c>
      <c r="B205">
        <f t="shared" si="57"/>
        <v>2.5549737211633686E-2</v>
      </c>
      <c r="C205">
        <f t="shared" si="58"/>
        <v>0.1344502627883663</v>
      </c>
      <c r="D205">
        <f t="shared" si="59"/>
        <v>8.1186736743564358E-2</v>
      </c>
      <c r="E205">
        <f t="shared" si="50"/>
        <v>8.3354117870078306E-2</v>
      </c>
      <c r="F205">
        <f t="shared" si="51"/>
        <v>9.5416330526112605E-2</v>
      </c>
      <c r="G205">
        <f t="shared" si="52"/>
        <v>8.0485061971346736E-2</v>
      </c>
      <c r="H205">
        <f t="shared" si="60"/>
        <v>8.3461793443402946E-2</v>
      </c>
      <c r="I205">
        <f t="shared" si="61"/>
        <v>8.5192690165104418E-2</v>
      </c>
      <c r="J205">
        <f t="shared" si="53"/>
        <v>8.5031176805117473E-2</v>
      </c>
      <c r="K205">
        <f t="shared" si="54"/>
        <v>0.13503117680511748</v>
      </c>
      <c r="L205">
        <f t="shared" si="55"/>
        <v>3.503117680511747E-2</v>
      </c>
      <c r="M205">
        <f t="shared" si="62"/>
        <v>8.1384717377361179E-2</v>
      </c>
      <c r="N205">
        <f t="shared" ref="N205:N268" si="65">IF(SIGN(DeltaThetaDeg)=1,MAX(D205:M205),MIN(F205:M205))</f>
        <v>3.503117680511747E-2</v>
      </c>
      <c r="O205">
        <f t="shared" si="56"/>
        <v>0.1344502627883663</v>
      </c>
      <c r="P205">
        <f t="shared" si="63"/>
        <v>3.5341637560949893E-2</v>
      </c>
      <c r="Q205">
        <f t="shared" si="64"/>
        <v>0.13491830101149671</v>
      </c>
    </row>
    <row r="206" spans="1:17" x14ac:dyDescent="0.45">
      <c r="A206">
        <v>0.99500000000000099</v>
      </c>
      <c r="B206">
        <f t="shared" si="57"/>
        <v>2.5659614591375488E-2</v>
      </c>
      <c r="C206">
        <f t="shared" si="58"/>
        <v>0.13434038540862453</v>
      </c>
      <c r="D206">
        <f t="shared" si="59"/>
        <v>8.1157436108966544E-2</v>
      </c>
      <c r="E206">
        <f t="shared" si="50"/>
        <v>8.3297564632891327E-2</v>
      </c>
      <c r="F206">
        <f t="shared" si="51"/>
        <v>9.5418371140796376E-2</v>
      </c>
      <c r="G206">
        <f t="shared" si="52"/>
        <v>8.046881284910426E-2</v>
      </c>
      <c r="H206">
        <f t="shared" si="60"/>
        <v>8.3408916147655332E-2</v>
      </c>
      <c r="I206">
        <f t="shared" si="61"/>
        <v>8.511337422148299E-2</v>
      </c>
      <c r="J206">
        <f t="shared" si="53"/>
        <v>8.494634694933699E-2</v>
      </c>
      <c r="K206">
        <f t="shared" si="54"/>
        <v>0.13494634694933699</v>
      </c>
      <c r="L206">
        <f t="shared" si="55"/>
        <v>3.4946346949336987E-2</v>
      </c>
      <c r="M206">
        <f t="shared" si="62"/>
        <v>8.1363566459062134E-2</v>
      </c>
      <c r="N206">
        <f t="shared" si="65"/>
        <v>3.4946346949336987E-2</v>
      </c>
      <c r="O206">
        <f t="shared" si="56"/>
        <v>0.13434038540862453</v>
      </c>
      <c r="P206">
        <f t="shared" si="63"/>
        <v>3.5268866833057674E-2</v>
      </c>
      <c r="Q206">
        <f t="shared" si="64"/>
        <v>0.1347968677268517</v>
      </c>
    </row>
    <row r="207" spans="1:17" x14ac:dyDescent="0.45">
      <c r="A207">
        <v>1</v>
      </c>
      <c r="B207">
        <f t="shared" si="57"/>
        <v>2.5766779088945369E-2</v>
      </c>
      <c r="C207">
        <f t="shared" si="58"/>
        <v>0.13423322091105463</v>
      </c>
      <c r="D207">
        <f t="shared" si="59"/>
        <v>8.1128858909614576E-2</v>
      </c>
      <c r="E207">
        <f t="shared" si="50"/>
        <v>8.3239416677896666E-2</v>
      </c>
      <c r="F207">
        <f t="shared" si="51"/>
        <v>9.5405410413635483E-2</v>
      </c>
      <c r="G207">
        <f t="shared" si="52"/>
        <v>8.0452776967610398E-2</v>
      </c>
      <c r="H207">
        <f t="shared" si="60"/>
        <v>8.3354117870078306E-2</v>
      </c>
      <c r="I207">
        <f t="shared" si="61"/>
        <v>8.5031176805117473E-2</v>
      </c>
      <c r="J207">
        <f t="shared" si="53"/>
        <v>8.4859125016845005E-2</v>
      </c>
      <c r="K207">
        <f t="shared" si="54"/>
        <v>0.13485912501684499</v>
      </c>
      <c r="L207">
        <f t="shared" si="55"/>
        <v>3.4859125016845002E-2</v>
      </c>
      <c r="M207">
        <f t="shared" si="62"/>
        <v>8.1341647148031326E-2</v>
      </c>
      <c r="N207">
        <f t="shared" si="65"/>
        <v>3.4859125016845002E-2</v>
      </c>
      <c r="O207">
        <f t="shared" si="56"/>
        <v>0.13423322091105463</v>
      </c>
      <c r="P207">
        <f t="shared" si="63"/>
        <v>3.5192690165104415E-2</v>
      </c>
      <c r="Q207">
        <f t="shared" si="64"/>
        <v>0.1346784326406873</v>
      </c>
    </row>
    <row r="208" spans="1:17" x14ac:dyDescent="0.45">
      <c r="A208">
        <v>1.0049999999999999</v>
      </c>
      <c r="B208">
        <f t="shared" si="57"/>
        <v>2.5871297685642808E-2</v>
      </c>
      <c r="C208">
        <f t="shared" si="58"/>
        <v>0.1341287023143572</v>
      </c>
      <c r="D208">
        <f t="shared" si="59"/>
        <v>8.1100987283828585E-2</v>
      </c>
      <c r="E208">
        <f t="shared" si="50"/>
        <v>8.3179828536871309E-2</v>
      </c>
      <c r="F208">
        <f t="shared" si="51"/>
        <v>9.5377933344307012E-2</v>
      </c>
      <c r="G208">
        <f t="shared" si="52"/>
        <v>8.0436970830604346E-2</v>
      </c>
      <c r="H208">
        <f t="shared" si="60"/>
        <v>8.3297564632891327E-2</v>
      </c>
      <c r="I208">
        <f t="shared" si="61"/>
        <v>8.494634694933699E-2</v>
      </c>
      <c r="J208">
        <f t="shared" si="53"/>
        <v>8.4769742805306955E-2</v>
      </c>
      <c r="K208">
        <f t="shared" si="54"/>
        <v>0.13476974280530696</v>
      </c>
      <c r="L208">
        <f t="shared" si="55"/>
        <v>3.4769742805306952E-2</v>
      </c>
      <c r="M208">
        <f t="shared" si="62"/>
        <v>8.1319025853156535E-2</v>
      </c>
      <c r="N208">
        <f t="shared" si="65"/>
        <v>3.4769742805306952E-2</v>
      </c>
      <c r="O208">
        <f t="shared" si="56"/>
        <v>0.1341287023143572</v>
      </c>
      <c r="P208">
        <f t="shared" si="63"/>
        <v>3.5113374221482987E-2</v>
      </c>
      <c r="Q208">
        <f t="shared" si="64"/>
        <v>0.13456292172721918</v>
      </c>
    </row>
    <row r="209" spans="1:17" x14ac:dyDescent="0.45">
      <c r="A209">
        <v>1.01</v>
      </c>
      <c r="B209">
        <f t="shared" si="57"/>
        <v>2.5973235708993084E-2</v>
      </c>
      <c r="C209">
        <f t="shared" si="58"/>
        <v>0.13402676429100691</v>
      </c>
      <c r="D209">
        <f t="shared" si="59"/>
        <v>8.107380381093518E-2</v>
      </c>
      <c r="E209">
        <f t="shared" si="50"/>
        <v>8.3118949106063114E-2</v>
      </c>
      <c r="F209">
        <f t="shared" si="51"/>
        <v>9.5336423721394933E-2</v>
      </c>
      <c r="G209">
        <f t="shared" si="52"/>
        <v>8.0421409346644282E-2</v>
      </c>
      <c r="H209">
        <f t="shared" si="60"/>
        <v>8.3239416677896666E-2</v>
      </c>
      <c r="I209">
        <f t="shared" si="61"/>
        <v>8.4859125016845005E-2</v>
      </c>
      <c r="J209">
        <f t="shared" si="53"/>
        <v>8.4678423659094657E-2</v>
      </c>
      <c r="K209">
        <f t="shared" si="54"/>
        <v>0.13467842365909466</v>
      </c>
      <c r="L209">
        <f t="shared" si="55"/>
        <v>3.4678423659094654E-2</v>
      </c>
      <c r="M209">
        <f t="shared" si="62"/>
        <v>8.1295766671158662E-2</v>
      </c>
      <c r="N209">
        <f t="shared" si="65"/>
        <v>3.4678423659094654E-2</v>
      </c>
      <c r="O209">
        <f t="shared" si="56"/>
        <v>0.13402676429100691</v>
      </c>
      <c r="P209">
        <f t="shared" si="63"/>
        <v>3.503117680511747E-2</v>
      </c>
      <c r="Q209">
        <f t="shared" si="64"/>
        <v>0.1344502627883663</v>
      </c>
    </row>
    <row r="210" spans="1:17" x14ac:dyDescent="0.45">
      <c r="A210">
        <v>1.0149999999999999</v>
      </c>
      <c r="B210">
        <f t="shared" si="57"/>
        <v>2.6072656873579222E-2</v>
      </c>
      <c r="C210">
        <f t="shared" si="58"/>
        <v>0.13392734312642079</v>
      </c>
      <c r="D210">
        <f t="shared" si="59"/>
        <v>8.1047291500378871E-2</v>
      </c>
      <c r="E210">
        <f t="shared" si="50"/>
        <v>8.3056921724492763E-2</v>
      </c>
      <c r="F210">
        <f t="shared" si="51"/>
        <v>9.5281363691844798E-2</v>
      </c>
      <c r="G210">
        <f t="shared" si="52"/>
        <v>8.0406105910807366E-2</v>
      </c>
      <c r="H210">
        <f t="shared" si="60"/>
        <v>8.3179828536871309E-2</v>
      </c>
      <c r="I210">
        <f t="shared" si="61"/>
        <v>8.4769742805306955E-2</v>
      </c>
      <c r="J210">
        <f t="shared" si="53"/>
        <v>8.4585382586739144E-2</v>
      </c>
      <c r="K210">
        <f t="shared" si="54"/>
        <v>0.13458538258673913</v>
      </c>
      <c r="L210">
        <f t="shared" si="55"/>
        <v>3.4585382586739141E-2</v>
      </c>
      <c r="M210">
        <f t="shared" si="62"/>
        <v>8.1271931414748519E-2</v>
      </c>
      <c r="N210">
        <f t="shared" si="65"/>
        <v>3.4585382586739141E-2</v>
      </c>
      <c r="O210">
        <f t="shared" si="56"/>
        <v>0.13392734312642079</v>
      </c>
      <c r="P210">
        <f t="shared" si="63"/>
        <v>3.4946346949336987E-2</v>
      </c>
      <c r="Q210">
        <f t="shared" si="64"/>
        <v>0.13434038540862453</v>
      </c>
    </row>
    <row r="211" spans="1:17" x14ac:dyDescent="0.45">
      <c r="A211">
        <v>1.02</v>
      </c>
      <c r="B211">
        <f t="shared" si="57"/>
        <v>2.6169623320865476E-2</v>
      </c>
      <c r="C211">
        <f t="shared" si="58"/>
        <v>0.13383037667913453</v>
      </c>
      <c r="D211">
        <f t="shared" si="59"/>
        <v>8.1021433781102548E-2</v>
      </c>
      <c r="E211">
        <f t="shared" si="50"/>
        <v>8.2993884255772546E-2</v>
      </c>
      <c r="F211">
        <f t="shared" si="51"/>
        <v>9.521323334556811E-2</v>
      </c>
      <c r="G211">
        <f t="shared" si="52"/>
        <v>8.0391072483669959E-2</v>
      </c>
      <c r="H211">
        <f t="shared" si="60"/>
        <v>8.3118949106063114E-2</v>
      </c>
      <c r="I211">
        <f t="shared" si="61"/>
        <v>8.4678423659094657E-2</v>
      </c>
      <c r="J211">
        <f t="shared" si="53"/>
        <v>8.4490826383658818E-2</v>
      </c>
      <c r="K211">
        <f t="shared" si="54"/>
        <v>0.13449082638365883</v>
      </c>
      <c r="L211">
        <f t="shared" si="55"/>
        <v>3.4490826383658815E-2</v>
      </c>
      <c r="M211">
        <f t="shared" si="62"/>
        <v>8.1247579642425238E-2</v>
      </c>
      <c r="N211">
        <f t="shared" si="65"/>
        <v>3.4490826383658815E-2</v>
      </c>
      <c r="O211">
        <f t="shared" si="56"/>
        <v>0.13383037667913453</v>
      </c>
      <c r="P211">
        <f t="shared" si="63"/>
        <v>3.4859125016845002E-2</v>
      </c>
      <c r="Q211">
        <f t="shared" si="64"/>
        <v>0.13423322091105463</v>
      </c>
    </row>
    <row r="212" spans="1:17" x14ac:dyDescent="0.45">
      <c r="A212">
        <v>1.0249999999999999</v>
      </c>
      <c r="B212">
        <f t="shared" si="57"/>
        <v>2.626419565803792E-2</v>
      </c>
      <c r="C212">
        <f t="shared" si="58"/>
        <v>0.13373580434196208</v>
      </c>
      <c r="D212">
        <f t="shared" si="59"/>
        <v>8.0996214491189891E-2</v>
      </c>
      <c r="E212">
        <f t="shared" si="50"/>
        <v>8.2929969173162421E-2</v>
      </c>
      <c r="F212">
        <f t="shared" si="51"/>
        <v>9.5132510315121807E-2</v>
      </c>
      <c r="G212">
        <f t="shared" si="52"/>
        <v>8.0376319667602544E-2</v>
      </c>
      <c r="H212">
        <f t="shared" si="60"/>
        <v>8.3056921724492763E-2</v>
      </c>
      <c r="I212">
        <f t="shared" si="61"/>
        <v>8.4585382586739144E-2</v>
      </c>
      <c r="J212">
        <f t="shared" si="53"/>
        <v>8.4394953759743624E-2</v>
      </c>
      <c r="K212">
        <f t="shared" si="54"/>
        <v>0.13439495375974364</v>
      </c>
      <c r="L212">
        <f t="shared" si="55"/>
        <v>3.4394953759743621E-2</v>
      </c>
      <c r="M212">
        <f t="shared" si="62"/>
        <v>8.1222768689797109E-2</v>
      </c>
      <c r="N212">
        <f t="shared" si="65"/>
        <v>3.4394953759743621E-2</v>
      </c>
      <c r="O212">
        <f t="shared" si="56"/>
        <v>0.13373580434196208</v>
      </c>
      <c r="P212">
        <f t="shared" si="63"/>
        <v>3.4769742805306952E-2</v>
      </c>
      <c r="Q212">
        <f t="shared" si="64"/>
        <v>0.1341287023143572</v>
      </c>
    </row>
    <row r="213" spans="1:17" x14ac:dyDescent="0.45">
      <c r="A213">
        <v>1.03</v>
      </c>
      <c r="B213">
        <f t="shared" si="57"/>
        <v>2.6356432995885901E-2</v>
      </c>
      <c r="C213">
        <f t="shared" si="58"/>
        <v>0.13364356700411412</v>
      </c>
      <c r="D213">
        <f t="shared" si="59"/>
        <v>8.0971617867763759E-2</v>
      </c>
      <c r="E213">
        <f t="shared" si="50"/>
        <v>8.2865303647593203E-2</v>
      </c>
      <c r="F213">
        <f t="shared" si="51"/>
        <v>9.5039669390375836E-2</v>
      </c>
      <c r="G213">
        <f t="shared" si="52"/>
        <v>8.0361856780417185E-2</v>
      </c>
      <c r="H213">
        <f t="shared" si="60"/>
        <v>8.2993884255772546E-2</v>
      </c>
      <c r="I213">
        <f t="shared" si="61"/>
        <v>8.4490826383658818E-2</v>
      </c>
      <c r="J213">
        <f t="shared" si="53"/>
        <v>8.4297955471389796E-2</v>
      </c>
      <c r="K213">
        <f t="shared" si="54"/>
        <v>0.13429795547138978</v>
      </c>
      <c r="L213">
        <f t="shared" si="55"/>
        <v>3.4297955471389793E-2</v>
      </c>
      <c r="M213">
        <f t="shared" si="62"/>
        <v>8.1197553702309022E-2</v>
      </c>
      <c r="N213">
        <f t="shared" si="65"/>
        <v>3.4297955471389793E-2</v>
      </c>
      <c r="O213">
        <f t="shared" si="56"/>
        <v>0.13364356700411412</v>
      </c>
      <c r="P213">
        <f t="shared" si="63"/>
        <v>3.4678423659094654E-2</v>
      </c>
      <c r="Q213">
        <f t="shared" si="64"/>
        <v>0.13402676429100691</v>
      </c>
    </row>
    <row r="214" spans="1:17" x14ac:dyDescent="0.45">
      <c r="A214">
        <v>1.0349999999999999</v>
      </c>
      <c r="B214">
        <f t="shared" si="57"/>
        <v>2.6446392985748149E-2</v>
      </c>
      <c r="C214">
        <f t="shared" si="58"/>
        <v>0.13355360701425184</v>
      </c>
      <c r="D214">
        <f t="shared" si="59"/>
        <v>8.0947628537133831E-2</v>
      </c>
      <c r="E214">
        <f t="shared" si="50"/>
        <v>8.280000963839608E-2</v>
      </c>
      <c r="F214">
        <f t="shared" si="51"/>
        <v>9.4935182148070146E-2</v>
      </c>
      <c r="G214">
        <f t="shared" si="52"/>
        <v>8.0347691926407269E-2</v>
      </c>
      <c r="H214">
        <f t="shared" si="60"/>
        <v>8.2929969173162421E-2</v>
      </c>
      <c r="I214">
        <f t="shared" si="61"/>
        <v>8.4394953759743624E-2</v>
      </c>
      <c r="J214">
        <f t="shared" si="53"/>
        <v>8.4200014457594119E-2</v>
      </c>
      <c r="K214">
        <f t="shared" si="54"/>
        <v>0.13420001445759411</v>
      </c>
      <c r="L214">
        <f t="shared" si="55"/>
        <v>3.4200014457594116E-2</v>
      </c>
      <c r="M214">
        <f t="shared" si="62"/>
        <v>8.1171987669264964E-2</v>
      </c>
      <c r="N214">
        <f t="shared" si="65"/>
        <v>3.4200014457594116E-2</v>
      </c>
      <c r="O214">
        <f t="shared" si="56"/>
        <v>0.13355360701425184</v>
      </c>
      <c r="P214">
        <f t="shared" si="63"/>
        <v>3.4585382586739141E-2</v>
      </c>
      <c r="Q214">
        <f t="shared" si="64"/>
        <v>0.13392734312642079</v>
      </c>
    </row>
    <row r="215" spans="1:17" x14ac:dyDescent="0.45">
      <c r="A215">
        <v>1.04</v>
      </c>
      <c r="B215">
        <f t="shared" si="57"/>
        <v>2.6534131855546761E-2</v>
      </c>
      <c r="C215">
        <f t="shared" si="58"/>
        <v>0.13346586814445324</v>
      </c>
      <c r="D215">
        <f t="shared" si="59"/>
        <v>8.092423150518753E-2</v>
      </c>
      <c r="E215">
        <f t="shared" si="50"/>
        <v>8.273420398648651E-2</v>
      </c>
      <c r="F215">
        <f t="shared" si="51"/>
        <v>9.4819516596150885E-2</v>
      </c>
      <c r="G215">
        <f t="shared" si="52"/>
        <v>8.0333832064822322E-2</v>
      </c>
      <c r="H215">
        <f t="shared" si="60"/>
        <v>8.2865303647593203E-2</v>
      </c>
      <c r="I215">
        <f t="shared" si="61"/>
        <v>8.4297955471389796E-2</v>
      </c>
      <c r="J215">
        <f t="shared" si="53"/>
        <v>8.4101305979729757E-2</v>
      </c>
      <c r="K215">
        <f t="shared" si="54"/>
        <v>0.13410130597972975</v>
      </c>
      <c r="L215">
        <f t="shared" si="55"/>
        <v>3.4101305979729754E-2</v>
      </c>
      <c r="M215">
        <f t="shared" si="62"/>
        <v>8.1146121459037282E-2</v>
      </c>
      <c r="N215">
        <f t="shared" si="65"/>
        <v>3.4101305979729754E-2</v>
      </c>
      <c r="O215">
        <f t="shared" si="56"/>
        <v>0.13346586814445324</v>
      </c>
      <c r="P215">
        <f t="shared" si="63"/>
        <v>3.4490826383658815E-2</v>
      </c>
      <c r="Q215">
        <f t="shared" si="64"/>
        <v>0.13383037667913453</v>
      </c>
    </row>
    <row r="216" spans="1:17" x14ac:dyDescent="0.45">
      <c r="A216">
        <v>1.0449999999999999</v>
      </c>
      <c r="B216">
        <f t="shared" si="57"/>
        <v>2.6619704444931516E-2</v>
      </c>
      <c r="C216">
        <f t="shared" si="58"/>
        <v>0.13338029555506847</v>
      </c>
      <c r="D216">
        <f t="shared" si="59"/>
        <v>8.090141214801827E-2</v>
      </c>
      <c r="E216">
        <f t="shared" si="50"/>
        <v>8.2667998509759921E-2</v>
      </c>
      <c r="F216">
        <f t="shared" si="51"/>
        <v>9.4693136832765284E-2</v>
      </c>
      <c r="G216">
        <f t="shared" si="52"/>
        <v>8.0320283075822008E-2</v>
      </c>
      <c r="H216">
        <f t="shared" si="60"/>
        <v>8.280000963839608E-2</v>
      </c>
      <c r="I216">
        <f t="shared" si="61"/>
        <v>8.4200014457594119E-2</v>
      </c>
      <c r="J216">
        <f t="shared" si="53"/>
        <v>8.4001997764639888E-2</v>
      </c>
      <c r="K216">
        <f t="shared" si="54"/>
        <v>0.13400199776463989</v>
      </c>
      <c r="L216">
        <f t="shared" si="55"/>
        <v>3.4001997764639885E-2</v>
      </c>
      <c r="M216">
        <f t="shared" si="62"/>
        <v>8.1120003855358433E-2</v>
      </c>
      <c r="N216">
        <f t="shared" si="65"/>
        <v>3.4001997764639885E-2</v>
      </c>
      <c r="O216">
        <f t="shared" si="56"/>
        <v>0.13338029555506847</v>
      </c>
      <c r="P216">
        <f t="shared" si="63"/>
        <v>3.4394953759743621E-2</v>
      </c>
      <c r="Q216">
        <f t="shared" si="64"/>
        <v>0.13373580434196208</v>
      </c>
    </row>
    <row r="217" spans="1:17" x14ac:dyDescent="0.45">
      <c r="A217">
        <v>1.05</v>
      </c>
      <c r="B217">
        <f t="shared" si="57"/>
        <v>2.670316423955639E-2</v>
      </c>
      <c r="C217">
        <f t="shared" si="58"/>
        <v>0.1332968357604436</v>
      </c>
      <c r="D217">
        <f t="shared" si="59"/>
        <v>8.0879156202784963E-2</v>
      </c>
      <c r="E217">
        <f t="shared" si="50"/>
        <v>8.2601500100465478E-2</v>
      </c>
      <c r="F217">
        <f t="shared" si="51"/>
        <v>9.4556502719783511E-2</v>
      </c>
      <c r="G217">
        <f t="shared" si="52"/>
        <v>8.0307049823955881E-2</v>
      </c>
      <c r="H217">
        <f t="shared" si="60"/>
        <v>8.273420398648651E-2</v>
      </c>
      <c r="I217">
        <f t="shared" si="61"/>
        <v>8.4101305979729757E-2</v>
      </c>
      <c r="J217">
        <f t="shared" si="53"/>
        <v>8.3902250150698215E-2</v>
      </c>
      <c r="K217">
        <f t="shared" si="54"/>
        <v>0.13390225015069823</v>
      </c>
      <c r="L217">
        <f t="shared" si="55"/>
        <v>3.3902250150698213E-2</v>
      </c>
      <c r="M217">
        <f t="shared" si="62"/>
        <v>8.1093681594594597E-2</v>
      </c>
      <c r="N217">
        <f t="shared" si="65"/>
        <v>3.3902250150698213E-2</v>
      </c>
      <c r="O217">
        <f t="shared" si="56"/>
        <v>0.1332968357604436</v>
      </c>
      <c r="P217">
        <f t="shared" si="63"/>
        <v>3.4297955471389793E-2</v>
      </c>
      <c r="Q217">
        <f t="shared" si="64"/>
        <v>0.13364356700411412</v>
      </c>
    </row>
    <row r="218" spans="1:17" x14ac:dyDescent="0.45">
      <c r="A218">
        <v>1.0549999999999999</v>
      </c>
      <c r="B218">
        <f t="shared" si="57"/>
        <v>2.6784563404509881E-2</v>
      </c>
      <c r="C218">
        <f t="shared" si="58"/>
        <v>0.13321543659549012</v>
      </c>
      <c r="D218">
        <f t="shared" si="59"/>
        <v>8.085744975879737E-2</v>
      </c>
      <c r="E218">
        <f t="shared" si="50"/>
        <v>8.2534810824332699E-2</v>
      </c>
      <c r="F218">
        <f t="shared" si="51"/>
        <v>9.441006957070662E-2</v>
      </c>
      <c r="G218">
        <f t="shared" si="52"/>
        <v>8.0294136219216578E-2</v>
      </c>
      <c r="H218">
        <f t="shared" si="60"/>
        <v>8.2667998509759921E-2</v>
      </c>
      <c r="I218">
        <f t="shared" si="61"/>
        <v>8.4001997764639888E-2</v>
      </c>
      <c r="J218">
        <f t="shared" si="53"/>
        <v>8.3802216236499041E-2</v>
      </c>
      <c r="K218">
        <f t="shared" si="54"/>
        <v>0.13380221623649904</v>
      </c>
      <c r="L218">
        <f t="shared" si="55"/>
        <v>3.3802216236499039E-2</v>
      </c>
      <c r="M218">
        <f t="shared" si="62"/>
        <v>8.1067199403903972E-2</v>
      </c>
      <c r="N218">
        <f t="shared" si="65"/>
        <v>3.3802216236499039E-2</v>
      </c>
      <c r="O218">
        <f t="shared" si="56"/>
        <v>0.13321543659549012</v>
      </c>
      <c r="P218">
        <f t="shared" si="63"/>
        <v>3.4200014457594116E-2</v>
      </c>
      <c r="Q218">
        <f t="shared" si="64"/>
        <v>0.13355360701425184</v>
      </c>
    </row>
    <row r="219" spans="1:17" x14ac:dyDescent="0.45">
      <c r="A219">
        <v>1.06</v>
      </c>
      <c r="B219">
        <f t="shared" si="57"/>
        <v>2.6863952816919848E-2</v>
      </c>
      <c r="C219">
        <f t="shared" si="58"/>
        <v>0.13313604718308014</v>
      </c>
      <c r="D219">
        <f t="shared" si="59"/>
        <v>8.0836279248821377E-2</v>
      </c>
      <c r="E219">
        <f t="shared" si="50"/>
        <v>8.2468028021234818E-2</v>
      </c>
      <c r="F219">
        <f t="shared" si="51"/>
        <v>9.4254287852809551E-2</v>
      </c>
      <c r="G219">
        <f t="shared" si="52"/>
        <v>8.0281545275716071E-2</v>
      </c>
      <c r="H219">
        <f t="shared" si="60"/>
        <v>8.2601500100465478E-2</v>
      </c>
      <c r="I219">
        <f t="shared" si="61"/>
        <v>8.3902250150698215E-2</v>
      </c>
      <c r="J219">
        <f t="shared" si="53"/>
        <v>8.3702042031852233E-2</v>
      </c>
      <c r="K219">
        <f t="shared" si="54"/>
        <v>0.13370204203185224</v>
      </c>
      <c r="L219">
        <f t="shared" si="55"/>
        <v>3.3702042031852231E-2</v>
      </c>
      <c r="M219">
        <f t="shared" si="62"/>
        <v>8.1040600040186192E-2</v>
      </c>
      <c r="N219">
        <f t="shared" si="65"/>
        <v>3.3702042031852231E-2</v>
      </c>
      <c r="O219">
        <f t="shared" si="56"/>
        <v>0.13313604718308014</v>
      </c>
      <c r="P219">
        <f t="shared" si="63"/>
        <v>3.4101305979729754E-2</v>
      </c>
      <c r="Q219">
        <f t="shared" si="64"/>
        <v>0.13346586814445324</v>
      </c>
    </row>
    <row r="220" spans="1:17" x14ac:dyDescent="0.45">
      <c r="A220">
        <v>1.0649999999999999</v>
      </c>
      <c r="B220">
        <f t="shared" si="57"/>
        <v>2.6941382097753389E-2</v>
      </c>
      <c r="C220">
        <f t="shared" si="58"/>
        <v>0.1330586179022466</v>
      </c>
      <c r="D220">
        <f t="shared" si="59"/>
        <v>8.0815631440599098E-2</v>
      </c>
      <c r="E220">
        <f t="shared" si="50"/>
        <v>8.2401244407180926E-2</v>
      </c>
      <c r="F220">
        <f t="shared" si="51"/>
        <v>9.4089602903359895E-2</v>
      </c>
      <c r="G220">
        <f t="shared" si="52"/>
        <v>8.0269279168035237E-2</v>
      </c>
      <c r="H220">
        <f t="shared" si="60"/>
        <v>8.2534810824332699E-2</v>
      </c>
      <c r="I220">
        <f t="shared" si="61"/>
        <v>8.3802216236499041E-2</v>
      </c>
      <c r="J220">
        <f t="shared" si="53"/>
        <v>8.3601866610771375E-2</v>
      </c>
      <c r="K220">
        <f t="shared" si="54"/>
        <v>0.13360186661077139</v>
      </c>
      <c r="L220">
        <f t="shared" si="55"/>
        <v>3.3601866610771372E-2</v>
      </c>
      <c r="M220">
        <f t="shared" si="62"/>
        <v>8.1013924329733075E-2</v>
      </c>
      <c r="N220">
        <f t="shared" si="65"/>
        <v>3.3601866610771372E-2</v>
      </c>
      <c r="O220">
        <f t="shared" si="56"/>
        <v>0.1330586179022466</v>
      </c>
      <c r="P220">
        <f t="shared" si="63"/>
        <v>3.4001997764639885E-2</v>
      </c>
      <c r="Q220">
        <f t="shared" si="64"/>
        <v>0.13338029555506847</v>
      </c>
    </row>
    <row r="221" spans="1:17" x14ac:dyDescent="0.45">
      <c r="A221">
        <v>1.07</v>
      </c>
      <c r="B221">
        <f t="shared" si="57"/>
        <v>2.7016899642831591E-2</v>
      </c>
      <c r="C221">
        <f t="shared" si="58"/>
        <v>0.13298310035716843</v>
      </c>
      <c r="D221">
        <f t="shared" si="59"/>
        <v>8.0795493428578252E-2</v>
      </c>
      <c r="E221">
        <f t="shared" si="50"/>
        <v>8.2334548177437419E-2</v>
      </c>
      <c r="F221">
        <f t="shared" si="51"/>
        <v>9.3916454659743465E-2</v>
      </c>
      <c r="G221">
        <f t="shared" si="52"/>
        <v>8.0257339285298421E-2</v>
      </c>
      <c r="H221">
        <f t="shared" si="60"/>
        <v>8.2468028021234818E-2</v>
      </c>
      <c r="I221">
        <f t="shared" si="61"/>
        <v>8.3702042031852233E-2</v>
      </c>
      <c r="J221">
        <f t="shared" si="53"/>
        <v>8.3501822266156128E-2</v>
      </c>
      <c r="K221">
        <f t="shared" si="54"/>
        <v>0.13350182226615614</v>
      </c>
      <c r="L221">
        <f t="shared" si="55"/>
        <v>3.3501822266156125E-2</v>
      </c>
      <c r="M221">
        <f t="shared" si="62"/>
        <v>8.0987211208493934E-2</v>
      </c>
      <c r="N221">
        <f t="shared" si="65"/>
        <v>3.3501822266156125E-2</v>
      </c>
      <c r="O221">
        <f t="shared" si="56"/>
        <v>0.13298310035716843</v>
      </c>
      <c r="P221">
        <f t="shared" si="63"/>
        <v>3.3902250150698213E-2</v>
      </c>
      <c r="Q221">
        <f t="shared" si="64"/>
        <v>0.1332968357604436</v>
      </c>
    </row>
    <row r="222" spans="1:17" x14ac:dyDescent="0.45">
      <c r="A222">
        <v>1.075</v>
      </c>
      <c r="B222">
        <f t="shared" si="57"/>
        <v>2.7090552653078373E-2</v>
      </c>
      <c r="C222">
        <f t="shared" si="58"/>
        <v>0.13290944734692162</v>
      </c>
      <c r="D222">
        <f t="shared" si="59"/>
        <v>8.0775852625845773E-2</v>
      </c>
      <c r="E222">
        <f t="shared" si="50"/>
        <v>8.2268023110587812E-2</v>
      </c>
      <c r="F222">
        <f t="shared" si="51"/>
        <v>9.373527740332066E-2</v>
      </c>
      <c r="G222">
        <f t="shared" si="52"/>
        <v>8.0245726283025592E-2</v>
      </c>
      <c r="H222">
        <f t="shared" si="60"/>
        <v>8.2401244407180926E-2</v>
      </c>
      <c r="I222">
        <f t="shared" si="61"/>
        <v>8.3601866610771375E-2</v>
      </c>
      <c r="J222">
        <f t="shared" si="53"/>
        <v>8.3402034665881725E-2</v>
      </c>
      <c r="K222">
        <f t="shared" si="54"/>
        <v>0.13340203466588174</v>
      </c>
      <c r="L222">
        <f t="shared" si="55"/>
        <v>3.3402034665881722E-2</v>
      </c>
      <c r="M222">
        <f t="shared" si="62"/>
        <v>8.0960497762872369E-2</v>
      </c>
      <c r="N222">
        <f t="shared" si="65"/>
        <v>3.3402034665881722E-2</v>
      </c>
      <c r="O222">
        <f t="shared" si="56"/>
        <v>0.13290944734692162</v>
      </c>
      <c r="P222">
        <f t="shared" si="63"/>
        <v>3.3802216236499039E-2</v>
      </c>
      <c r="Q222">
        <f t="shared" si="64"/>
        <v>0.13321543659549012</v>
      </c>
    </row>
    <row r="223" spans="1:17" x14ac:dyDescent="0.45">
      <c r="A223">
        <v>1.08</v>
      </c>
      <c r="B223">
        <f t="shared" si="57"/>
        <v>2.7162387164022805E-2</v>
      </c>
      <c r="C223">
        <f t="shared" si="58"/>
        <v>0.1328376128359772</v>
      </c>
      <c r="D223">
        <f t="shared" si="59"/>
        <v>8.0756696756260585E-2</v>
      </c>
      <c r="E223">
        <f t="shared" si="50"/>
        <v>8.2201748673347383E-2</v>
      </c>
      <c r="F223">
        <f t="shared" si="51"/>
        <v>9.3546499516829057E-2</v>
      </c>
      <c r="G223">
        <f t="shared" si="52"/>
        <v>8.0234440132814902E-2</v>
      </c>
      <c r="H223">
        <f t="shared" si="60"/>
        <v>8.2334548177437419E-2</v>
      </c>
      <c r="I223">
        <f t="shared" si="61"/>
        <v>8.3501822266156128E-2</v>
      </c>
      <c r="J223">
        <f t="shared" si="53"/>
        <v>8.3302623010021074E-2</v>
      </c>
      <c r="K223">
        <f t="shared" si="54"/>
        <v>0.13330262301002108</v>
      </c>
      <c r="L223">
        <f t="shared" si="55"/>
        <v>3.3302623010021071E-2</v>
      </c>
      <c r="M223">
        <f t="shared" si="62"/>
        <v>8.0933819270974969E-2</v>
      </c>
      <c r="N223">
        <f t="shared" si="65"/>
        <v>3.3302623010021071E-2</v>
      </c>
      <c r="O223">
        <f t="shared" si="56"/>
        <v>0.1328376128359772</v>
      </c>
      <c r="P223">
        <f t="shared" si="63"/>
        <v>3.3702042031852231E-2</v>
      </c>
      <c r="Q223">
        <f t="shared" si="64"/>
        <v>0.13313604718308014</v>
      </c>
    </row>
    <row r="224" spans="1:17" x14ac:dyDescent="0.45">
      <c r="A224">
        <v>1.085</v>
      </c>
      <c r="B224">
        <f t="shared" si="57"/>
        <v>2.7232448074572618E-2</v>
      </c>
      <c r="C224">
        <f t="shared" si="58"/>
        <v>0.13276755192542739</v>
      </c>
      <c r="D224">
        <f t="shared" si="59"/>
        <v>8.0738013846780643E-2</v>
      </c>
      <c r="E224">
        <f t="shared" si="50"/>
        <v>8.2135800125957836E-2</v>
      </c>
      <c r="F224">
        <f t="shared" si="51"/>
        <v>9.3350543255140792E-2</v>
      </c>
      <c r="G224">
        <f t="shared" si="52"/>
        <v>8.0223480169909572E-2</v>
      </c>
      <c r="H224">
        <f t="shared" si="60"/>
        <v>8.2268023110587812E-2</v>
      </c>
      <c r="I224">
        <f t="shared" si="61"/>
        <v>8.3402034665881725E-2</v>
      </c>
      <c r="J224">
        <f t="shared" si="53"/>
        <v>8.3203700188936747E-2</v>
      </c>
      <c r="K224">
        <f t="shared" si="54"/>
        <v>0.13320370018893674</v>
      </c>
      <c r="L224">
        <f t="shared" si="55"/>
        <v>3.3203700188936744E-2</v>
      </c>
      <c r="M224">
        <f t="shared" si="62"/>
        <v>8.0907209244235126E-2</v>
      </c>
      <c r="N224">
        <f t="shared" si="65"/>
        <v>3.3203700188936744E-2</v>
      </c>
      <c r="O224">
        <f t="shared" si="56"/>
        <v>0.13276755192542739</v>
      </c>
      <c r="P224">
        <f t="shared" si="63"/>
        <v>3.3601866610771372E-2</v>
      </c>
      <c r="Q224">
        <f t="shared" si="64"/>
        <v>0.1330586179022466</v>
      </c>
    </row>
    <row r="225" spans="1:17" x14ac:dyDescent="0.45">
      <c r="A225">
        <v>1.0900000000000001</v>
      </c>
      <c r="B225">
        <f t="shared" si="57"/>
        <v>2.7300779175077575E-2</v>
      </c>
      <c r="C225">
        <f t="shared" si="58"/>
        <v>0.13269922082492241</v>
      </c>
      <c r="D225">
        <f t="shared" si="59"/>
        <v>8.0719792219979311E-2</v>
      </c>
      <c r="E225">
        <f t="shared" si="50"/>
        <v>8.2070248627994419E-2</v>
      </c>
      <c r="F225">
        <f t="shared" si="51"/>
        <v>9.3147824529175957E-2</v>
      </c>
      <c r="G225">
        <f t="shared" si="52"/>
        <v>8.0212845138703262E-2</v>
      </c>
      <c r="H225">
        <f t="shared" si="60"/>
        <v>8.2201748673347383E-2</v>
      </c>
      <c r="I225">
        <f t="shared" si="61"/>
        <v>8.3302623010021074E-2</v>
      </c>
      <c r="J225">
        <f t="shared" si="53"/>
        <v>8.310537294199162E-2</v>
      </c>
      <c r="K225">
        <f t="shared" si="54"/>
        <v>0.13310537294199162</v>
      </c>
      <c r="L225">
        <f t="shared" si="55"/>
        <v>3.3105372941991618E-2</v>
      </c>
      <c r="M225">
        <f t="shared" si="62"/>
        <v>8.0880699469338957E-2</v>
      </c>
      <c r="N225">
        <f t="shared" si="65"/>
        <v>3.3105372941991618E-2</v>
      </c>
      <c r="O225">
        <f t="shared" si="56"/>
        <v>0.13269922082492241</v>
      </c>
      <c r="P225">
        <f t="shared" si="63"/>
        <v>3.3501822266156125E-2</v>
      </c>
      <c r="Q225">
        <f t="shared" si="64"/>
        <v>0.13298310035716843</v>
      </c>
    </row>
    <row r="226" spans="1:17" x14ac:dyDescent="0.45">
      <c r="A226">
        <v>1.095</v>
      </c>
      <c r="B226">
        <f t="shared" si="57"/>
        <v>2.7367423174699868E-2</v>
      </c>
      <c r="C226">
        <f t="shared" si="58"/>
        <v>0.13263257682530014</v>
      </c>
      <c r="D226">
        <f t="shared" si="59"/>
        <v>8.0702020486746698E-2</v>
      </c>
      <c r="E226">
        <f t="shared" si="50"/>
        <v>8.2005161344425703E-2</v>
      </c>
      <c r="F226">
        <f t="shared" si="51"/>
        <v>9.293875270276751E-2</v>
      </c>
      <c r="G226">
        <f t="shared" si="52"/>
        <v>8.0202533236237855E-2</v>
      </c>
      <c r="H226">
        <f t="shared" si="60"/>
        <v>8.2135800125957836E-2</v>
      </c>
      <c r="I226">
        <f t="shared" si="61"/>
        <v>8.3203700188936747E-2</v>
      </c>
      <c r="J226">
        <f t="shared" si="53"/>
        <v>8.3007742016638547E-2</v>
      </c>
      <c r="K226">
        <f t="shared" si="54"/>
        <v>0.13300774201663856</v>
      </c>
      <c r="L226">
        <f t="shared" si="55"/>
        <v>3.3007742016638544E-2</v>
      </c>
      <c r="M226">
        <f t="shared" si="62"/>
        <v>8.0854320050383136E-2</v>
      </c>
      <c r="N226">
        <f t="shared" si="65"/>
        <v>3.3007742016638544E-2</v>
      </c>
      <c r="O226">
        <f t="shared" si="56"/>
        <v>0.13263257682530014</v>
      </c>
      <c r="P226">
        <f t="shared" si="63"/>
        <v>3.3402034665881722E-2</v>
      </c>
      <c r="Q226">
        <f t="shared" si="64"/>
        <v>0.13290944734692162</v>
      </c>
    </row>
    <row r="227" spans="1:17" x14ac:dyDescent="0.45">
      <c r="A227">
        <v>1.1000000000000001</v>
      </c>
      <c r="B227">
        <f t="shared" si="57"/>
        <v>2.7432421728108697E-2</v>
      </c>
      <c r="C227">
        <f t="shared" si="58"/>
        <v>0.13256757827189131</v>
      </c>
      <c r="D227">
        <f t="shared" si="59"/>
        <v>8.0684687539171018E-2</v>
      </c>
      <c r="E227">
        <f t="shared" si="50"/>
        <v>8.1940601551773726E-2</v>
      </c>
      <c r="F227">
        <f t="shared" si="51"/>
        <v>9.2723730402266086E-2</v>
      </c>
      <c r="G227">
        <f t="shared" si="52"/>
        <v>8.0192542153748714E-2</v>
      </c>
      <c r="H227">
        <f t="shared" si="60"/>
        <v>8.2070248627994419E-2</v>
      </c>
      <c r="I227">
        <f t="shared" si="61"/>
        <v>8.310537294199162E-2</v>
      </c>
      <c r="J227">
        <f t="shared" si="53"/>
        <v>8.2910902327660602E-2</v>
      </c>
      <c r="K227">
        <f t="shared" si="54"/>
        <v>0.13291090232766062</v>
      </c>
      <c r="L227">
        <f t="shared" si="55"/>
        <v>3.2910902327660599E-2</v>
      </c>
      <c r="M227">
        <f t="shared" si="62"/>
        <v>8.082809945119776E-2</v>
      </c>
      <c r="N227">
        <f t="shared" si="65"/>
        <v>3.2910902327660599E-2</v>
      </c>
      <c r="O227">
        <f t="shared" si="56"/>
        <v>0.13256757827189131</v>
      </c>
      <c r="P227">
        <f t="shared" si="63"/>
        <v>3.3302623010021071E-2</v>
      </c>
      <c r="Q227">
        <f t="shared" si="64"/>
        <v>0.1328376128359772</v>
      </c>
    </row>
    <row r="228" spans="1:17" x14ac:dyDescent="0.45">
      <c r="A228">
        <v>1.105</v>
      </c>
      <c r="B228">
        <f t="shared" si="57"/>
        <v>2.7495815461515846E-2</v>
      </c>
      <c r="C228">
        <f t="shared" si="58"/>
        <v>0.13250418453848417</v>
      </c>
      <c r="D228">
        <f t="shared" si="59"/>
        <v>8.0667782543595773E-2</v>
      </c>
      <c r="E228">
        <f t="shared" si="50"/>
        <v>8.1876628744229532E-2</v>
      </c>
      <c r="F228">
        <f t="shared" si="51"/>
        <v>9.250315333866832E-2</v>
      </c>
      <c r="G228">
        <f t="shared" si="52"/>
        <v>8.0182869116311437E-2</v>
      </c>
      <c r="H228">
        <f t="shared" si="60"/>
        <v>8.2005161344425703E-2</v>
      </c>
      <c r="I228">
        <f t="shared" si="61"/>
        <v>8.3007742016638547E-2</v>
      </c>
      <c r="J228">
        <f t="shared" si="53"/>
        <v>8.2814943116344297E-2</v>
      </c>
      <c r="K228">
        <f t="shared" si="54"/>
        <v>0.13281494311634429</v>
      </c>
      <c r="L228">
        <f t="shared" si="55"/>
        <v>3.2814943116344295E-2</v>
      </c>
      <c r="M228">
        <f t="shared" si="62"/>
        <v>8.080206453777028E-2</v>
      </c>
      <c r="N228">
        <f t="shared" si="65"/>
        <v>3.2814943116344295E-2</v>
      </c>
      <c r="O228">
        <f t="shared" si="56"/>
        <v>0.13250418453848417</v>
      </c>
      <c r="P228">
        <f t="shared" si="63"/>
        <v>3.3203700188936744E-2</v>
      </c>
      <c r="Q228">
        <f t="shared" si="64"/>
        <v>0.13276755192542739</v>
      </c>
    </row>
    <row r="229" spans="1:17" x14ac:dyDescent="0.45">
      <c r="A229">
        <v>1.1100000000000001</v>
      </c>
      <c r="B229">
        <f t="shared" si="57"/>
        <v>2.7557643998068301E-2</v>
      </c>
      <c r="C229">
        <f t="shared" si="58"/>
        <v>0.13244235600193172</v>
      </c>
      <c r="D229">
        <f t="shared" si="59"/>
        <v>8.0651294933848455E-2</v>
      </c>
      <c r="E229">
        <f t="shared" si="50"/>
        <v>8.1813298739586024E-2</v>
      </c>
      <c r="F229">
        <f t="shared" si="51"/>
        <v>9.2277410142046268E-2</v>
      </c>
      <c r="G229">
        <f t="shared" si="52"/>
        <v>8.0173510920644925E-2</v>
      </c>
      <c r="H229">
        <f t="shared" si="60"/>
        <v>8.1940601551773726E-2</v>
      </c>
      <c r="I229">
        <f t="shared" si="61"/>
        <v>8.2910902327660602E-2</v>
      </c>
      <c r="J229">
        <f t="shared" si="53"/>
        <v>8.2719948109379035E-2</v>
      </c>
      <c r="K229">
        <f t="shared" si="54"/>
        <v>0.13271994810937904</v>
      </c>
      <c r="L229">
        <f t="shared" si="55"/>
        <v>3.2719948109379032E-2</v>
      </c>
      <c r="M229">
        <f t="shared" si="62"/>
        <v>8.0776240620709497E-2</v>
      </c>
      <c r="N229">
        <f t="shared" si="65"/>
        <v>3.2719948109379032E-2</v>
      </c>
      <c r="O229">
        <f t="shared" si="56"/>
        <v>0.13244235600193172</v>
      </c>
      <c r="P229">
        <f t="shared" si="63"/>
        <v>3.3105372941991618E-2</v>
      </c>
      <c r="Q229">
        <f t="shared" si="64"/>
        <v>0.13269922082492241</v>
      </c>
    </row>
    <row r="230" spans="1:17" x14ac:dyDescent="0.45">
      <c r="A230">
        <v>1.115</v>
      </c>
      <c r="B230">
        <f t="shared" si="57"/>
        <v>2.7617945982614134E-2</v>
      </c>
      <c r="C230">
        <f t="shared" si="58"/>
        <v>0.13238205401738587</v>
      </c>
      <c r="D230">
        <f t="shared" si="59"/>
        <v>8.0635214404636238E-2</v>
      </c>
      <c r="E230">
        <f t="shared" si="50"/>
        <v>8.1750663784857458E-2</v>
      </c>
      <c r="F230">
        <f t="shared" si="51"/>
        <v>9.2046882208051337E-2</v>
      </c>
      <c r="G230">
        <f t="shared" si="52"/>
        <v>8.0164463971124783E-2</v>
      </c>
      <c r="H230">
        <f t="shared" si="60"/>
        <v>8.1876628744229532E-2</v>
      </c>
      <c r="I230">
        <f t="shared" si="61"/>
        <v>8.2814943116344297E-2</v>
      </c>
      <c r="J230">
        <f t="shared" si="53"/>
        <v>8.2625995677286179E-2</v>
      </c>
      <c r="K230">
        <f t="shared" si="54"/>
        <v>0.13262599567728617</v>
      </c>
      <c r="L230">
        <f t="shared" si="55"/>
        <v>3.2625995677286176E-2</v>
      </c>
      <c r="M230">
        <f t="shared" si="62"/>
        <v>8.0750651497691811E-2</v>
      </c>
      <c r="N230">
        <f t="shared" si="65"/>
        <v>3.2625995677286176E-2</v>
      </c>
      <c r="O230">
        <f t="shared" si="56"/>
        <v>0.13238205401738587</v>
      </c>
      <c r="P230">
        <f t="shared" si="63"/>
        <v>3.3007742016638544E-2</v>
      </c>
      <c r="Q230">
        <f t="shared" si="64"/>
        <v>0.13263257682530014</v>
      </c>
    </row>
    <row r="231" spans="1:17" x14ac:dyDescent="0.45">
      <c r="A231">
        <v>1.1200000000000001</v>
      </c>
      <c r="B231">
        <f t="shared" si="57"/>
        <v>2.7676759105856652E-2</v>
      </c>
      <c r="C231">
        <f t="shared" si="58"/>
        <v>0.13232324089414335</v>
      </c>
      <c r="D231">
        <f t="shared" si="59"/>
        <v>8.0619530905104889E-2</v>
      </c>
      <c r="E231">
        <f t="shared" si="50"/>
        <v>8.1688772661461254E-2</v>
      </c>
      <c r="F231">
        <f t="shared" si="51"/>
        <v>9.1811943556260725E-2</v>
      </c>
      <c r="G231">
        <f t="shared" si="52"/>
        <v>8.015572431406115E-2</v>
      </c>
      <c r="H231">
        <f t="shared" si="60"/>
        <v>8.1813298739586024E-2</v>
      </c>
      <c r="I231">
        <f t="shared" si="61"/>
        <v>8.2719948109379035E-2</v>
      </c>
      <c r="J231">
        <f t="shared" si="53"/>
        <v>8.253315899219188E-2</v>
      </c>
      <c r="K231">
        <f t="shared" si="54"/>
        <v>0.13253315899219187</v>
      </c>
      <c r="L231">
        <f t="shared" si="55"/>
        <v>3.2533158992191877E-2</v>
      </c>
      <c r="M231">
        <f t="shared" si="62"/>
        <v>8.0725319495834405E-2</v>
      </c>
      <c r="N231">
        <f t="shared" si="65"/>
        <v>3.2533158992191877E-2</v>
      </c>
      <c r="O231">
        <f t="shared" si="56"/>
        <v>0.13232324089414335</v>
      </c>
      <c r="P231">
        <f t="shared" si="63"/>
        <v>3.2910902327660599E-2</v>
      </c>
      <c r="Q231">
        <f t="shared" si="64"/>
        <v>0.13256757827189131</v>
      </c>
    </row>
    <row r="232" spans="1:17" x14ac:dyDescent="0.45">
      <c r="A232">
        <v>1.125</v>
      </c>
      <c r="B232">
        <f t="shared" si="57"/>
        <v>2.7734120127912418E-2</v>
      </c>
      <c r="C232">
        <f t="shared" si="58"/>
        <v>0.1322658798720876</v>
      </c>
      <c r="D232">
        <f t="shared" si="59"/>
        <v>8.0604234632556684E-2</v>
      </c>
      <c r="E232">
        <f t="shared" si="50"/>
        <v>8.1627670789844703E-2</v>
      </c>
      <c r="F232">
        <f t="shared" si="51"/>
        <v>9.1572960700130962E-2</v>
      </c>
      <c r="G232">
        <f t="shared" si="52"/>
        <v>8.0147287670294609E-2</v>
      </c>
      <c r="H232">
        <f t="shared" si="60"/>
        <v>8.1750663784857458E-2</v>
      </c>
      <c r="I232">
        <f t="shared" si="61"/>
        <v>8.2625995677286179E-2</v>
      </c>
      <c r="J232">
        <f t="shared" si="53"/>
        <v>8.2441506184767047E-2</v>
      </c>
      <c r="K232">
        <f t="shared" si="54"/>
        <v>0.13244150618476705</v>
      </c>
      <c r="L232">
        <f t="shared" si="55"/>
        <v>3.2441506184767044E-2</v>
      </c>
      <c r="M232">
        <f t="shared" si="62"/>
        <v>8.0700265513942979E-2</v>
      </c>
      <c r="N232">
        <f t="shared" si="65"/>
        <v>3.2441506184767044E-2</v>
      </c>
      <c r="O232">
        <f t="shared" si="56"/>
        <v>0.1322658798720876</v>
      </c>
      <c r="P232">
        <f t="shared" si="63"/>
        <v>3.2814943116344295E-2</v>
      </c>
      <c r="Q232">
        <f t="shared" si="64"/>
        <v>0.13250418453848417</v>
      </c>
    </row>
    <row r="233" spans="1:17" x14ac:dyDescent="0.45">
      <c r="A233">
        <v>1.1299999999999999</v>
      </c>
      <c r="B233">
        <f t="shared" si="57"/>
        <v>2.7790064901287492E-2</v>
      </c>
      <c r="C233">
        <f t="shared" si="58"/>
        <v>0.13220993509871251</v>
      </c>
      <c r="D233">
        <f t="shared" si="59"/>
        <v>8.058931602632334E-2</v>
      </c>
      <c r="E233">
        <f t="shared" si="50"/>
        <v>8.1567400333445478E-2</v>
      </c>
      <c r="F233">
        <f t="shared" si="51"/>
        <v>9.1330292528318743E-2</v>
      </c>
      <c r="G233">
        <f t="shared" si="52"/>
        <v>8.0139149466163226E-2</v>
      </c>
      <c r="H233">
        <f t="shared" si="60"/>
        <v>8.1688772661461254E-2</v>
      </c>
      <c r="I233">
        <f t="shared" si="61"/>
        <v>8.253315899219188E-2</v>
      </c>
      <c r="J233">
        <f t="shared" si="53"/>
        <v>8.2351100500168209E-2</v>
      </c>
      <c r="K233">
        <f t="shared" si="54"/>
        <v>0.13235110050016821</v>
      </c>
      <c r="L233">
        <f t="shared" si="55"/>
        <v>3.2351100500168206E-2</v>
      </c>
      <c r="M233">
        <f t="shared" si="62"/>
        <v>8.0675509064584497E-2</v>
      </c>
      <c r="N233">
        <f t="shared" si="65"/>
        <v>3.2351100500168206E-2</v>
      </c>
      <c r="O233">
        <f t="shared" si="56"/>
        <v>0.13220993509871251</v>
      </c>
      <c r="P233">
        <f t="shared" si="63"/>
        <v>3.2719948109379032E-2</v>
      </c>
      <c r="Q233">
        <f t="shared" si="64"/>
        <v>0.13244235600193172</v>
      </c>
    </row>
    <row r="234" spans="1:17" x14ac:dyDescent="0.45">
      <c r="A234">
        <v>1.135</v>
      </c>
      <c r="B234">
        <f t="shared" si="57"/>
        <v>2.7844628393286386E-2</v>
      </c>
      <c r="C234">
        <f t="shared" si="58"/>
        <v>0.13215537160671362</v>
      </c>
      <c r="D234">
        <f t="shared" si="59"/>
        <v>8.0574765761790304E-2</v>
      </c>
      <c r="E234">
        <f t="shared" si="50"/>
        <v>8.1508000301881281E-2</v>
      </c>
      <c r="F234">
        <f t="shared" si="51"/>
        <v>9.1084290197126314E-2</v>
      </c>
      <c r="G234">
        <f t="shared" si="52"/>
        <v>8.0131304862893563E-2</v>
      </c>
      <c r="H234">
        <f t="shared" si="60"/>
        <v>8.1627670789844703E-2</v>
      </c>
      <c r="I234">
        <f t="shared" si="61"/>
        <v>8.2441506184767047E-2</v>
      </c>
      <c r="J234">
        <f t="shared" si="53"/>
        <v>8.2262000452821935E-2</v>
      </c>
      <c r="K234">
        <f t="shared" si="54"/>
        <v>0.13226200045282194</v>
      </c>
      <c r="L234">
        <f t="shared" si="55"/>
        <v>3.2262000452821932E-2</v>
      </c>
      <c r="M234">
        <f t="shared" si="62"/>
        <v>8.0651068315937879E-2</v>
      </c>
      <c r="N234">
        <f t="shared" si="65"/>
        <v>3.2262000452821932E-2</v>
      </c>
      <c r="O234">
        <f t="shared" si="56"/>
        <v>0.13215537160671362</v>
      </c>
      <c r="P234">
        <f t="shared" si="63"/>
        <v>3.2625995677286176E-2</v>
      </c>
      <c r="Q234">
        <f t="shared" si="64"/>
        <v>0.13238205401738587</v>
      </c>
    </row>
    <row r="235" spans="1:17" x14ac:dyDescent="0.45">
      <c r="A235">
        <v>1.1399999999999999</v>
      </c>
      <c r="B235">
        <f t="shared" si="57"/>
        <v>2.7897844707867769E-2</v>
      </c>
      <c r="C235">
        <f t="shared" si="58"/>
        <v>0.13210215529213223</v>
      </c>
      <c r="D235">
        <f t="shared" si="59"/>
        <v>8.0560574744568597E-2</v>
      </c>
      <c r="E235">
        <f t="shared" si="50"/>
        <v>8.1449506653270054E-2</v>
      </c>
      <c r="F235">
        <f t="shared" si="51"/>
        <v>9.0835297033825022E-2</v>
      </c>
      <c r="G235">
        <f t="shared" si="52"/>
        <v>8.0123748784467666E-2</v>
      </c>
      <c r="H235">
        <f t="shared" si="60"/>
        <v>8.1567400333445478E-2</v>
      </c>
      <c r="I235">
        <f t="shared" si="61"/>
        <v>8.2351100500168209E-2</v>
      </c>
      <c r="J235">
        <f t="shared" si="53"/>
        <v>8.2174259979905087E-2</v>
      </c>
      <c r="K235">
        <f t="shared" si="54"/>
        <v>0.13217425997990509</v>
      </c>
      <c r="L235">
        <f t="shared" si="55"/>
        <v>3.2174259979905084E-2</v>
      </c>
      <c r="M235">
        <f t="shared" si="62"/>
        <v>8.0626960133378195E-2</v>
      </c>
      <c r="N235">
        <f t="shared" si="65"/>
        <v>3.2174259979905084E-2</v>
      </c>
      <c r="O235">
        <f t="shared" si="56"/>
        <v>0.13210215529213223</v>
      </c>
      <c r="P235">
        <f t="shared" si="63"/>
        <v>3.2533158992191877E-2</v>
      </c>
      <c r="Q235">
        <f t="shared" si="64"/>
        <v>0.13232324089414335</v>
      </c>
    </row>
    <row r="236" spans="1:17" x14ac:dyDescent="0.45">
      <c r="A236">
        <v>1.145</v>
      </c>
      <c r="B236">
        <f t="shared" si="57"/>
        <v>2.7949747106960632E-2</v>
      </c>
      <c r="C236">
        <f t="shared" si="58"/>
        <v>0.13205025289303937</v>
      </c>
      <c r="D236">
        <f t="shared" si="59"/>
        <v>8.0546734104810502E-2</v>
      </c>
      <c r="E236">
        <f t="shared" si="50"/>
        <v>8.139195239558783E-2</v>
      </c>
      <c r="F236">
        <f t="shared" si="51"/>
        <v>9.0583648450608137E-2</v>
      </c>
      <c r="G236">
        <f t="shared" si="52"/>
        <v>8.011647594401744E-2</v>
      </c>
      <c r="H236">
        <f t="shared" si="60"/>
        <v>8.1508000301881281E-2</v>
      </c>
      <c r="I236">
        <f t="shared" si="61"/>
        <v>8.2262000452821935E-2</v>
      </c>
      <c r="J236">
        <f t="shared" si="53"/>
        <v>8.2087928593381751E-2</v>
      </c>
      <c r="K236">
        <f t="shared" si="54"/>
        <v>0.13208792859338175</v>
      </c>
      <c r="L236">
        <f t="shared" si="55"/>
        <v>3.2087928593381748E-2</v>
      </c>
      <c r="M236">
        <f t="shared" si="62"/>
        <v>8.0603200120752519E-2</v>
      </c>
      <c r="N236">
        <f t="shared" si="65"/>
        <v>3.2087928593381748E-2</v>
      </c>
      <c r="O236">
        <f t="shared" si="56"/>
        <v>0.13205025289303937</v>
      </c>
      <c r="P236">
        <f t="shared" si="63"/>
        <v>3.2441506184767044E-2</v>
      </c>
      <c r="Q236">
        <f t="shared" si="64"/>
        <v>0.1322658798720876</v>
      </c>
    </row>
    <row r="237" spans="1:17" x14ac:dyDescent="0.45">
      <c r="A237">
        <v>1.1499999999999999</v>
      </c>
      <c r="B237">
        <f t="shared" si="57"/>
        <v>2.8000368031253928E-2</v>
      </c>
      <c r="C237">
        <f t="shared" si="58"/>
        <v>0.13199963196874609</v>
      </c>
      <c r="D237">
        <f t="shared" si="59"/>
        <v>8.0533235191665622E-2</v>
      </c>
      <c r="E237">
        <f t="shared" si="50"/>
        <v>8.133536768697773E-2</v>
      </c>
      <c r="F237">
        <f t="shared" si="51"/>
        <v>9.0329671868921713E-2</v>
      </c>
      <c r="G237">
        <f t="shared" si="52"/>
        <v>8.0109480868797323E-2</v>
      </c>
      <c r="H237">
        <f t="shared" si="60"/>
        <v>8.1449506653270054E-2</v>
      </c>
      <c r="I237">
        <f t="shared" si="61"/>
        <v>8.2174259979905087E-2</v>
      </c>
      <c r="J237">
        <f t="shared" si="53"/>
        <v>8.2003051530466581E-2</v>
      </c>
      <c r="K237">
        <f t="shared" si="54"/>
        <v>0.1320030515304666</v>
      </c>
      <c r="L237">
        <f t="shared" si="55"/>
        <v>3.2003051530466578E-2</v>
      </c>
      <c r="M237">
        <f t="shared" si="62"/>
        <v>8.0579802661308028E-2</v>
      </c>
      <c r="N237">
        <f t="shared" si="65"/>
        <v>3.2003051530466578E-2</v>
      </c>
      <c r="O237">
        <f t="shared" si="56"/>
        <v>0.13199963196874609</v>
      </c>
      <c r="P237">
        <f t="shared" si="63"/>
        <v>3.2351100500168206E-2</v>
      </c>
      <c r="Q237">
        <f t="shared" si="64"/>
        <v>0.13220993509871251</v>
      </c>
    </row>
    <row r="238" spans="1:17" x14ac:dyDescent="0.45">
      <c r="A238">
        <v>1.155</v>
      </c>
      <c r="B238">
        <f t="shared" si="57"/>
        <v>2.8049739120473233E-2</v>
      </c>
      <c r="C238">
        <f t="shared" si="58"/>
        <v>0.13195026087952677</v>
      </c>
      <c r="D238">
        <f t="shared" si="59"/>
        <v>8.0520069567873803E-2</v>
      </c>
      <c r="E238">
        <f t="shared" si="50"/>
        <v>8.1279779934928548E-2</v>
      </c>
      <c r="F238">
        <f t="shared" si="51"/>
        <v>9.007368665391971E-2</v>
      </c>
      <c r="G238">
        <f t="shared" si="52"/>
        <v>8.010275792378492E-2</v>
      </c>
      <c r="H238">
        <f t="shared" si="60"/>
        <v>8.139195239558783E-2</v>
      </c>
      <c r="I238">
        <f t="shared" si="61"/>
        <v>8.2087928593381751E-2</v>
      </c>
      <c r="J238">
        <f t="shared" si="53"/>
        <v>8.1919669902392828E-2</v>
      </c>
      <c r="K238">
        <f t="shared" si="54"/>
        <v>0.13191966990239284</v>
      </c>
      <c r="L238">
        <f t="shared" si="55"/>
        <v>3.1919669902392825E-2</v>
      </c>
      <c r="M238">
        <f t="shared" si="62"/>
        <v>8.0556780958235139E-2</v>
      </c>
      <c r="N238">
        <f t="shared" si="65"/>
        <v>3.1919669902392825E-2</v>
      </c>
      <c r="O238">
        <f t="shared" si="56"/>
        <v>0.13195026087952677</v>
      </c>
      <c r="P238">
        <f t="shared" si="63"/>
        <v>3.2262000452821932E-2</v>
      </c>
      <c r="Q238">
        <f t="shared" si="64"/>
        <v>0.13215537160671362</v>
      </c>
    </row>
    <row r="239" spans="1:17" x14ac:dyDescent="0.45">
      <c r="A239">
        <v>1.1599999999999999</v>
      </c>
      <c r="B239">
        <f t="shared" si="57"/>
        <v>2.8097891233156452E-2</v>
      </c>
      <c r="C239">
        <f t="shared" si="58"/>
        <v>0.13190210876684355</v>
      </c>
      <c r="D239">
        <f t="shared" si="59"/>
        <v>8.0507229004491615E-2</v>
      </c>
      <c r="E239">
        <f t="shared" si="50"/>
        <v>8.1225213894247375E-2</v>
      </c>
      <c r="F239">
        <f t="shared" si="51"/>
        <v>8.9816004058788243E-2</v>
      </c>
      <c r="G239">
        <f t="shared" si="52"/>
        <v>8.0096301333959327E-2</v>
      </c>
      <c r="H239">
        <f t="shared" si="60"/>
        <v>8.133536768697773E-2</v>
      </c>
      <c r="I239">
        <f t="shared" si="61"/>
        <v>8.2003051530466581E-2</v>
      </c>
      <c r="J239">
        <f t="shared" si="53"/>
        <v>8.1837820841371076E-2</v>
      </c>
      <c r="K239">
        <f t="shared" si="54"/>
        <v>0.13183782084137108</v>
      </c>
      <c r="L239">
        <f t="shared" si="55"/>
        <v>3.1837820841371073E-2</v>
      </c>
      <c r="M239">
        <f t="shared" si="62"/>
        <v>8.053414707479109E-2</v>
      </c>
      <c r="N239">
        <f t="shared" si="65"/>
        <v>3.1837820841371073E-2</v>
      </c>
      <c r="O239">
        <f t="shared" si="56"/>
        <v>0.13190210876684355</v>
      </c>
      <c r="P239">
        <f t="shared" si="63"/>
        <v>3.2174259979905084E-2</v>
      </c>
      <c r="Q239">
        <f t="shared" si="64"/>
        <v>0.13210215529213223</v>
      </c>
    </row>
    <row r="240" spans="1:17" x14ac:dyDescent="0.45">
      <c r="A240">
        <v>1.165</v>
      </c>
      <c r="B240">
        <f t="shared" si="57"/>
        <v>2.8144854465941491E-2</v>
      </c>
      <c r="C240">
        <f t="shared" si="58"/>
        <v>0.13185514553405853</v>
      </c>
      <c r="D240">
        <f t="shared" si="59"/>
        <v>8.049470547574894E-2</v>
      </c>
      <c r="E240">
        <f t="shared" si="50"/>
        <v>8.1171691763755521E-2</v>
      </c>
      <c r="F240">
        <f t="shared" si="51"/>
        <v>8.9556927178682008E-2</v>
      </c>
      <c r="G240">
        <f t="shared" si="52"/>
        <v>8.009010520530499E-2</v>
      </c>
      <c r="H240">
        <f t="shared" si="60"/>
        <v>8.1279779934928548E-2</v>
      </c>
      <c r="I240">
        <f t="shared" si="61"/>
        <v>8.1919669902392828E-2</v>
      </c>
      <c r="J240">
        <f t="shared" si="53"/>
        <v>8.1757537645633274E-2</v>
      </c>
      <c r="K240">
        <f t="shared" si="54"/>
        <v>0.13175753764563328</v>
      </c>
      <c r="L240">
        <f t="shared" si="55"/>
        <v>3.1757537645633271E-2</v>
      </c>
      <c r="M240">
        <f t="shared" si="62"/>
        <v>8.0511911973971423E-2</v>
      </c>
      <c r="N240">
        <f t="shared" si="65"/>
        <v>3.1757537645633271E-2</v>
      </c>
      <c r="O240">
        <f t="shared" si="56"/>
        <v>0.13185514553405853</v>
      </c>
      <c r="P240">
        <f t="shared" si="63"/>
        <v>3.2087928593381748E-2</v>
      </c>
      <c r="Q240">
        <f t="shared" si="64"/>
        <v>0.13205025289303937</v>
      </c>
    </row>
    <row r="241" spans="1:17" x14ac:dyDescent="0.45">
      <c r="A241">
        <v>1.17</v>
      </c>
      <c r="B241">
        <f t="shared" si="57"/>
        <v>2.8190658172377647E-2</v>
      </c>
      <c r="C241">
        <f t="shared" si="58"/>
        <v>0.13180934182762236</v>
      </c>
      <c r="D241">
        <f t="shared" si="59"/>
        <v>8.0482491154032623E-2</v>
      </c>
      <c r="E241">
        <f t="shared" si="50"/>
        <v>8.11192332816425E-2</v>
      </c>
      <c r="F241">
        <f t="shared" si="51"/>
        <v>8.9296750914014719E-2</v>
      </c>
      <c r="G241">
        <f t="shared" si="52"/>
        <v>8.0084163544588929E-2</v>
      </c>
      <c r="H241">
        <f t="shared" si="60"/>
        <v>8.1225213894247375E-2</v>
      </c>
      <c r="I241">
        <f t="shared" si="61"/>
        <v>8.1837820841371076E-2</v>
      </c>
      <c r="J241">
        <f t="shared" si="53"/>
        <v>8.1678849922463756E-2</v>
      </c>
      <c r="K241">
        <f t="shared" si="54"/>
        <v>0.13167884992246376</v>
      </c>
      <c r="L241">
        <f t="shared" si="55"/>
        <v>3.1678849922463753E-2</v>
      </c>
      <c r="M241">
        <f t="shared" si="62"/>
        <v>8.0490085557698959E-2</v>
      </c>
      <c r="N241">
        <f t="shared" si="65"/>
        <v>3.1678849922463753E-2</v>
      </c>
      <c r="O241">
        <f t="shared" si="56"/>
        <v>0.13180934182762236</v>
      </c>
      <c r="P241">
        <f t="shared" si="63"/>
        <v>3.2003051530466578E-2</v>
      </c>
      <c r="Q241">
        <f t="shared" si="64"/>
        <v>0.13199963196874609</v>
      </c>
    </row>
    <row r="242" spans="1:17" x14ac:dyDescent="0.45">
      <c r="A242">
        <v>1.175</v>
      </c>
      <c r="B242">
        <f t="shared" si="57"/>
        <v>2.8235330981272455E-2</v>
      </c>
      <c r="C242">
        <f t="shared" si="58"/>
        <v>0.13176466901872755</v>
      </c>
      <c r="D242">
        <f t="shared" si="59"/>
        <v>8.0470578404994011E-2</v>
      </c>
      <c r="E242">
        <f t="shared" si="50"/>
        <v>8.1067855819417722E-2</v>
      </c>
      <c r="F242">
        <f t="shared" si="51"/>
        <v>8.9035761942844585E-2</v>
      </c>
      <c r="G242">
        <f t="shared" si="52"/>
        <v>8.0078470277957836E-2</v>
      </c>
      <c r="H242">
        <f t="shared" si="60"/>
        <v>8.1171691763755521E-2</v>
      </c>
      <c r="I242">
        <f t="shared" si="61"/>
        <v>8.1757537645633274E-2</v>
      </c>
      <c r="J242">
        <f t="shared" si="53"/>
        <v>8.1601783729126576E-2</v>
      </c>
      <c r="K242">
        <f t="shared" si="54"/>
        <v>0.13160178372912656</v>
      </c>
      <c r="L242">
        <f t="shared" si="55"/>
        <v>3.1601783729126573E-2</v>
      </c>
      <c r="M242">
        <f t="shared" si="62"/>
        <v>8.0468676705502215E-2</v>
      </c>
      <c r="N242">
        <f t="shared" si="65"/>
        <v>3.1601783729126573E-2</v>
      </c>
      <c r="O242">
        <f t="shared" si="56"/>
        <v>0.13176466901872755</v>
      </c>
      <c r="P242">
        <f t="shared" si="63"/>
        <v>3.1919669902392825E-2</v>
      </c>
      <c r="Q242">
        <f t="shared" si="64"/>
        <v>0.13195026087952677</v>
      </c>
    </row>
    <row r="243" spans="1:17" x14ac:dyDescent="0.45">
      <c r="A243">
        <v>1.18</v>
      </c>
      <c r="B243">
        <f t="shared" si="57"/>
        <v>2.8278900814585714E-2</v>
      </c>
      <c r="C243">
        <f t="shared" si="58"/>
        <v>0.1317210991854143</v>
      </c>
      <c r="D243">
        <f t="shared" si="59"/>
        <v>8.0458959782777145E-2</v>
      </c>
      <c r="E243">
        <f t="shared" si="50"/>
        <v>8.1017574474404025E-2</v>
      </c>
      <c r="F243">
        <f t="shared" si="51"/>
        <v>8.8774238702095248E-2</v>
      </c>
      <c r="G243">
        <f t="shared" si="52"/>
        <v>8.0073019268400616E-2</v>
      </c>
      <c r="H243">
        <f t="shared" si="60"/>
        <v>8.11192332816425E-2</v>
      </c>
      <c r="I243">
        <f t="shared" si="61"/>
        <v>8.1678849922463756E-2</v>
      </c>
      <c r="J243">
        <f t="shared" si="53"/>
        <v>8.152636171160603E-2</v>
      </c>
      <c r="K243">
        <f t="shared" si="54"/>
        <v>0.13152636171160603</v>
      </c>
      <c r="L243">
        <f t="shared" si="55"/>
        <v>3.1526361711606027E-2</v>
      </c>
      <c r="M243">
        <f t="shared" si="62"/>
        <v>8.0447693312656998E-2</v>
      </c>
      <c r="N243">
        <f t="shared" si="65"/>
        <v>3.1526361711606027E-2</v>
      </c>
      <c r="O243">
        <f t="shared" si="56"/>
        <v>0.1317210991854143</v>
      </c>
      <c r="P243">
        <f t="shared" si="63"/>
        <v>3.1837820841371073E-2</v>
      </c>
      <c r="Q243">
        <f t="shared" si="64"/>
        <v>0.13190210876684355</v>
      </c>
    </row>
    <row r="244" spans="1:17" x14ac:dyDescent="0.45">
      <c r="A244">
        <v>1.1850000000000001</v>
      </c>
      <c r="B244">
        <f t="shared" si="57"/>
        <v>2.8321394904881558E-2</v>
      </c>
      <c r="C244">
        <f t="shared" si="58"/>
        <v>0.13167860509511845</v>
      </c>
      <c r="D244">
        <f t="shared" si="59"/>
        <v>8.0447628025364912E-2</v>
      </c>
      <c r="E244">
        <f t="shared" si="50"/>
        <v>8.0968402160722347E-2</v>
      </c>
      <c r="F244">
        <f t="shared" si="51"/>
        <v>8.8512451377351919E-2</v>
      </c>
      <c r="G244">
        <f t="shared" si="52"/>
        <v>8.0067804332121267E-2</v>
      </c>
      <c r="H244">
        <f t="shared" si="60"/>
        <v>8.1067855819417722E-2</v>
      </c>
      <c r="I244">
        <f t="shared" si="61"/>
        <v>8.1601783729126576E-2</v>
      </c>
      <c r="J244">
        <f t="shared" si="53"/>
        <v>8.1452603241083527E-2</v>
      </c>
      <c r="K244">
        <f t="shared" si="54"/>
        <v>0.13145260324108354</v>
      </c>
      <c r="L244">
        <f t="shared" si="55"/>
        <v>3.1452603241083524E-2</v>
      </c>
      <c r="M244">
        <f t="shared" si="62"/>
        <v>8.0427142327767084E-2</v>
      </c>
      <c r="N244">
        <f t="shared" si="65"/>
        <v>3.1452603241083524E-2</v>
      </c>
      <c r="O244">
        <f t="shared" si="56"/>
        <v>0.13167860509511845</v>
      </c>
      <c r="P244">
        <f t="shared" si="63"/>
        <v>3.1757537645633271E-2</v>
      </c>
      <c r="Q244">
        <f t="shared" si="64"/>
        <v>0.13185514553405853</v>
      </c>
    </row>
    <row r="245" spans="1:17" x14ac:dyDescent="0.45">
      <c r="A245">
        <v>1.19</v>
      </c>
      <c r="B245">
        <f t="shared" si="57"/>
        <v>2.836283981234973E-2</v>
      </c>
      <c r="C245">
        <f t="shared" si="58"/>
        <v>0.13163716018765026</v>
      </c>
      <c r="D245">
        <f t="shared" si="59"/>
        <v>8.0436576050040079E-2</v>
      </c>
      <c r="E245">
        <f t="shared" si="50"/>
        <v>8.0920349698720834E-2</v>
      </c>
      <c r="F245">
        <f t="shared" si="51"/>
        <v>8.8250661900972721E-2</v>
      </c>
      <c r="G245">
        <f t="shared" si="52"/>
        <v>8.0062819253865672E-2</v>
      </c>
      <c r="H245">
        <f t="shared" si="60"/>
        <v>8.1017574474404025E-2</v>
      </c>
      <c r="I245">
        <f t="shared" si="61"/>
        <v>8.152636171160603E-2</v>
      </c>
      <c r="J245">
        <f t="shared" si="53"/>
        <v>8.1380524548081243E-2</v>
      </c>
      <c r="K245">
        <f t="shared" si="54"/>
        <v>0.13138052454808125</v>
      </c>
      <c r="L245">
        <f t="shared" si="55"/>
        <v>3.138052454808124E-2</v>
      </c>
      <c r="M245">
        <f t="shared" si="62"/>
        <v>8.0407029789761608E-2</v>
      </c>
      <c r="N245">
        <f t="shared" si="65"/>
        <v>3.138052454808124E-2</v>
      </c>
      <c r="O245">
        <f t="shared" si="56"/>
        <v>0.13163716018765026</v>
      </c>
      <c r="P245">
        <f t="shared" si="63"/>
        <v>3.1678849922463753E-2</v>
      </c>
      <c r="Q245">
        <f t="shared" si="64"/>
        <v>0.13180934182762236</v>
      </c>
    </row>
    <row r="246" spans="1:17" x14ac:dyDescent="0.45">
      <c r="A246">
        <v>1.1950000000000001</v>
      </c>
      <c r="B246">
        <f t="shared" si="57"/>
        <v>2.8403261441406522E-2</v>
      </c>
      <c r="C246">
        <f t="shared" si="58"/>
        <v>0.1315967385585935</v>
      </c>
      <c r="D246">
        <f t="shared" si="59"/>
        <v>8.0425796948958267E-2</v>
      </c>
      <c r="E246">
        <f t="shared" si="50"/>
        <v>8.0873425902806217E-2</v>
      </c>
      <c r="F246">
        <f t="shared" si="51"/>
        <v>8.7989123958254964E-2</v>
      </c>
      <c r="G246">
        <f t="shared" si="52"/>
        <v>8.0058057801245017E-2</v>
      </c>
      <c r="H246">
        <f t="shared" si="60"/>
        <v>8.0968402160722347E-2</v>
      </c>
      <c r="I246">
        <f t="shared" si="61"/>
        <v>8.1452603241083527E-2</v>
      </c>
      <c r="J246">
        <f t="shared" si="53"/>
        <v>8.1310138854209318E-2</v>
      </c>
      <c r="K246">
        <f t="shared" si="54"/>
        <v>0.13131013885420934</v>
      </c>
      <c r="L246">
        <f t="shared" si="55"/>
        <v>3.1310138854209316E-2</v>
      </c>
      <c r="M246">
        <f t="shared" si="62"/>
        <v>8.0387360864288937E-2</v>
      </c>
      <c r="N246">
        <f t="shared" si="65"/>
        <v>3.1310138854209316E-2</v>
      </c>
      <c r="O246">
        <f t="shared" si="56"/>
        <v>0.1315967385585935</v>
      </c>
      <c r="P246">
        <f t="shared" si="63"/>
        <v>3.1601783729126573E-2</v>
      </c>
      <c r="Q246">
        <f t="shared" si="64"/>
        <v>0.13176466901872755</v>
      </c>
    </row>
    <row r="247" spans="1:17" x14ac:dyDescent="0.45">
      <c r="A247">
        <v>1.2</v>
      </c>
      <c r="B247">
        <f t="shared" si="57"/>
        <v>2.844268505688595E-2</v>
      </c>
      <c r="C247">
        <f t="shared" si="58"/>
        <v>0.13155731494311407</v>
      </c>
      <c r="D247">
        <f t="shared" si="59"/>
        <v>8.0415283984830416E-2</v>
      </c>
      <c r="E247">
        <f t="shared" si="50"/>
        <v>8.082763766763959E-2</v>
      </c>
      <c r="F247">
        <f t="shared" si="51"/>
        <v>8.7728083001397048E-2</v>
      </c>
      <c r="G247">
        <f t="shared" si="52"/>
        <v>8.0053513738097812E-2</v>
      </c>
      <c r="H247">
        <f t="shared" si="60"/>
        <v>8.0920349698720834E-2</v>
      </c>
      <c r="I247">
        <f t="shared" si="61"/>
        <v>8.1380524548081243E-2</v>
      </c>
      <c r="J247">
        <f t="shared" si="53"/>
        <v>8.1241456501459391E-2</v>
      </c>
      <c r="K247">
        <f t="shared" si="54"/>
        <v>0.13124145650145941</v>
      </c>
      <c r="L247">
        <f t="shared" si="55"/>
        <v>3.1241456501459389E-2</v>
      </c>
      <c r="M247">
        <f t="shared" si="62"/>
        <v>8.0368139879488334E-2</v>
      </c>
      <c r="N247">
        <f t="shared" si="65"/>
        <v>3.1241456501459389E-2</v>
      </c>
      <c r="O247">
        <f t="shared" si="56"/>
        <v>0.13155731494311407</v>
      </c>
      <c r="P247">
        <f t="shared" si="63"/>
        <v>3.1526361711606027E-2</v>
      </c>
      <c r="Q247">
        <f t="shared" si="64"/>
        <v>0.1317210991854143</v>
      </c>
    </row>
    <row r="248" spans="1:17" x14ac:dyDescent="0.45">
      <c r="A248">
        <v>1.2050000000000001</v>
      </c>
      <c r="B248">
        <f t="shared" si="57"/>
        <v>2.8481135299831026E-2</v>
      </c>
      <c r="C248">
        <f t="shared" si="58"/>
        <v>0.13151886470016899</v>
      </c>
      <c r="D248">
        <f t="shared" si="59"/>
        <v>8.0405030586711723E-2</v>
      </c>
      <c r="E248">
        <f t="shared" si="50"/>
        <v>8.0782990052662415E-2</v>
      </c>
      <c r="F248">
        <f t="shared" si="51"/>
        <v>8.7467776270996611E-2</v>
      </c>
      <c r="G248">
        <f t="shared" si="52"/>
        <v>8.0049180836930883E-2</v>
      </c>
      <c r="H248">
        <f t="shared" si="60"/>
        <v>8.0873425902806217E-2</v>
      </c>
      <c r="I248">
        <f t="shared" si="61"/>
        <v>8.1310138854209318E-2</v>
      </c>
      <c r="J248">
        <f t="shared" si="53"/>
        <v>8.1174485078993636E-2</v>
      </c>
      <c r="K248">
        <f t="shared" si="54"/>
        <v>0.13117448507899365</v>
      </c>
      <c r="L248">
        <f t="shared" si="55"/>
        <v>3.1174485078993633E-2</v>
      </c>
      <c r="M248">
        <f t="shared" si="62"/>
        <v>8.0349370361122482E-2</v>
      </c>
      <c r="N248">
        <f t="shared" si="65"/>
        <v>3.1174485078993633E-2</v>
      </c>
      <c r="O248">
        <f t="shared" si="56"/>
        <v>0.13151886470016899</v>
      </c>
      <c r="P248">
        <f t="shared" si="63"/>
        <v>3.1452603241083524E-2</v>
      </c>
      <c r="Q248">
        <f t="shared" si="64"/>
        <v>0.13167860509511845</v>
      </c>
    </row>
    <row r="249" spans="1:17" x14ac:dyDescent="0.45">
      <c r="A249">
        <v>1.21</v>
      </c>
      <c r="B249">
        <f t="shared" si="57"/>
        <v>2.8518636202895256E-2</v>
      </c>
      <c r="C249">
        <f t="shared" si="58"/>
        <v>0.13148136379710473</v>
      </c>
      <c r="D249">
        <f t="shared" si="59"/>
        <v>8.0395030345894597E-2</v>
      </c>
      <c r="E249">
        <f t="shared" si="50"/>
        <v>8.0739486364922647E-2</v>
      </c>
      <c r="F249">
        <f t="shared" si="51"/>
        <v>8.7208432824826931E-2</v>
      </c>
      <c r="G249">
        <f t="shared" si="52"/>
        <v>8.0045052890479168E-2</v>
      </c>
      <c r="H249">
        <f t="shared" si="60"/>
        <v>8.082763766763959E-2</v>
      </c>
      <c r="I249">
        <f t="shared" si="61"/>
        <v>8.1241456501459391E-2</v>
      </c>
      <c r="J249">
        <f t="shared" si="53"/>
        <v>8.1109229547383963E-2</v>
      </c>
      <c r="K249">
        <f t="shared" si="54"/>
        <v>0.13110922954738397</v>
      </c>
      <c r="L249">
        <f t="shared" si="55"/>
        <v>3.110922954738396E-2</v>
      </c>
      <c r="M249">
        <f t="shared" si="62"/>
        <v>8.0331055067055845E-2</v>
      </c>
      <c r="N249">
        <f t="shared" si="65"/>
        <v>3.110922954738396E-2</v>
      </c>
      <c r="O249">
        <f t="shared" si="56"/>
        <v>0.13148136379710473</v>
      </c>
      <c r="P249">
        <f t="shared" si="63"/>
        <v>3.138052454808124E-2</v>
      </c>
      <c r="Q249">
        <f t="shared" si="64"/>
        <v>0.13163716018765026</v>
      </c>
    </row>
    <row r="250" spans="1:17" x14ac:dyDescent="0.45">
      <c r="A250">
        <v>1.2150000000000001</v>
      </c>
      <c r="B250">
        <f t="shared" si="57"/>
        <v>2.855521120536382E-2</v>
      </c>
      <c r="C250">
        <f t="shared" si="58"/>
        <v>0.13144478879463617</v>
      </c>
      <c r="D250">
        <f t="shared" si="59"/>
        <v>8.0385277011902984E-2</v>
      </c>
      <c r="E250">
        <f t="shared" si="50"/>
        <v>8.0697128240174595E-2</v>
      </c>
      <c r="F250">
        <f t="shared" si="51"/>
        <v>8.695027357363444E-2</v>
      </c>
      <c r="G250">
        <f t="shared" si="52"/>
        <v>8.0041123722423085E-2</v>
      </c>
      <c r="H250">
        <f t="shared" si="60"/>
        <v>8.0782990052662415E-2</v>
      </c>
      <c r="I250">
        <f t="shared" si="61"/>
        <v>8.1174485078993636E-2</v>
      </c>
      <c r="J250">
        <f t="shared" si="53"/>
        <v>8.1045692360261878E-2</v>
      </c>
      <c r="K250">
        <f t="shared" si="54"/>
        <v>0.13104569236026187</v>
      </c>
      <c r="L250">
        <f t="shared" si="55"/>
        <v>3.1045692360261876E-2</v>
      </c>
      <c r="M250">
        <f t="shared" si="62"/>
        <v>8.0313196021064973E-2</v>
      </c>
      <c r="N250">
        <f t="shared" si="65"/>
        <v>3.1045692360261876E-2</v>
      </c>
      <c r="O250">
        <f t="shared" si="56"/>
        <v>0.13144478879463617</v>
      </c>
      <c r="P250">
        <f t="shared" si="63"/>
        <v>3.1310138854209316E-2</v>
      </c>
      <c r="Q250">
        <f t="shared" si="64"/>
        <v>0.1315967385585935</v>
      </c>
    </row>
    <row r="251" spans="1:17" x14ac:dyDescent="0.45">
      <c r="A251">
        <v>1.22</v>
      </c>
      <c r="B251">
        <f t="shared" si="57"/>
        <v>2.8590883167803866E-2</v>
      </c>
      <c r="C251">
        <f t="shared" si="58"/>
        <v>0.13140911683219614</v>
      </c>
      <c r="D251">
        <f t="shared" si="59"/>
        <v>8.0375764488585633E-2</v>
      </c>
      <c r="E251">
        <f t="shared" si="50"/>
        <v>8.0655915722229687E-2</v>
      </c>
      <c r="F251">
        <f t="shared" si="51"/>
        <v>8.6693511323701636E-2</v>
      </c>
      <c r="G251">
        <f t="shared" si="52"/>
        <v>8.0037387197300858E-2</v>
      </c>
      <c r="H251">
        <f t="shared" si="60"/>
        <v>8.0739486364922647E-2</v>
      </c>
      <c r="I251">
        <f t="shared" si="61"/>
        <v>8.1109229547383963E-2</v>
      </c>
      <c r="J251">
        <f t="shared" si="53"/>
        <v>8.0983873583344523E-2</v>
      </c>
      <c r="K251">
        <f t="shared" si="54"/>
        <v>0.13098387358334451</v>
      </c>
      <c r="L251">
        <f t="shared" si="55"/>
        <v>3.0983873583344521E-2</v>
      </c>
      <c r="M251">
        <f t="shared" si="62"/>
        <v>8.0295794545969065E-2</v>
      </c>
      <c r="N251">
        <f t="shared" si="65"/>
        <v>3.0983873583344521E-2</v>
      </c>
      <c r="O251">
        <f t="shared" si="56"/>
        <v>0.13140911683219614</v>
      </c>
      <c r="P251">
        <f t="shared" si="63"/>
        <v>3.1241456501459389E-2</v>
      </c>
      <c r="Q251">
        <f t="shared" si="64"/>
        <v>0.13155731494311407</v>
      </c>
    </row>
    <row r="252" spans="1:17" x14ac:dyDescent="0.45">
      <c r="A252">
        <v>1.2250000000000001</v>
      </c>
      <c r="B252">
        <f t="shared" si="57"/>
        <v>2.8625674386353148E-2</v>
      </c>
      <c r="C252">
        <f t="shared" si="58"/>
        <v>0.13137432561364687</v>
      </c>
      <c r="D252">
        <f t="shared" si="59"/>
        <v>8.0366486830305825E-2</v>
      </c>
      <c r="E252">
        <f t="shared" si="50"/>
        <v>8.0615847340538588E-2</v>
      </c>
      <c r="F252">
        <f t="shared" si="51"/>
        <v>8.6438350825920926E-2</v>
      </c>
      <c r="G252">
        <f t="shared" si="52"/>
        <v>8.0033837229652363E-2</v>
      </c>
      <c r="H252">
        <f t="shared" si="60"/>
        <v>8.0697128240174595E-2</v>
      </c>
      <c r="I252">
        <f t="shared" si="61"/>
        <v>8.1045692360261878E-2</v>
      </c>
      <c r="J252">
        <f t="shared" si="53"/>
        <v>8.0923771010807874E-2</v>
      </c>
      <c r="K252">
        <f t="shared" si="54"/>
        <v>0.13092377101080788</v>
      </c>
      <c r="L252">
        <f t="shared" si="55"/>
        <v>3.0923771010807871E-2</v>
      </c>
      <c r="M252">
        <f t="shared" si="62"/>
        <v>8.0278851296069834E-2</v>
      </c>
      <c r="N252">
        <f t="shared" si="65"/>
        <v>3.0923771010807871E-2</v>
      </c>
      <c r="O252">
        <f t="shared" si="56"/>
        <v>0.13137432561364687</v>
      </c>
      <c r="P252">
        <f t="shared" si="63"/>
        <v>3.1174485078993633E-2</v>
      </c>
      <c r="Q252">
        <f t="shared" si="64"/>
        <v>0.13151886470016899</v>
      </c>
    </row>
    <row r="253" spans="1:17" x14ac:dyDescent="0.45">
      <c r="A253">
        <v>1.23</v>
      </c>
      <c r="B253">
        <f t="shared" si="57"/>
        <v>2.8659606606655799E-2</v>
      </c>
      <c r="C253">
        <f t="shared" si="58"/>
        <v>0.13134039339334419</v>
      </c>
      <c r="D253">
        <f t="shared" si="59"/>
        <v>8.0357438238225123E-2</v>
      </c>
      <c r="E253">
        <f t="shared" si="50"/>
        <v>8.057692018598861E-2</v>
      </c>
      <c r="F253">
        <f t="shared" si="51"/>
        <v>8.6184988831126977E-2</v>
      </c>
      <c r="G253">
        <f t="shared" si="52"/>
        <v>8.003046779243031E-2</v>
      </c>
      <c r="H253">
        <f t="shared" si="60"/>
        <v>8.0655915722229687E-2</v>
      </c>
      <c r="I253">
        <f t="shared" si="61"/>
        <v>8.0983873583344523E-2</v>
      </c>
      <c r="J253">
        <f t="shared" si="53"/>
        <v>8.0865380278982907E-2</v>
      </c>
      <c r="K253">
        <f t="shared" si="54"/>
        <v>0.13086538027898292</v>
      </c>
      <c r="L253">
        <f t="shared" si="55"/>
        <v>3.0865380278982904E-2</v>
      </c>
      <c r="M253">
        <f t="shared" si="62"/>
        <v>8.026236628889187E-2</v>
      </c>
      <c r="N253">
        <f t="shared" si="65"/>
        <v>3.0865380278982904E-2</v>
      </c>
      <c r="O253">
        <f t="shared" si="56"/>
        <v>0.13134039339334419</v>
      </c>
      <c r="P253">
        <f t="shared" si="63"/>
        <v>3.110922954738396E-2</v>
      </c>
      <c r="Q253">
        <f t="shared" si="64"/>
        <v>0.13148136379710473</v>
      </c>
    </row>
    <row r="254" spans="1:17" x14ac:dyDescent="0.45">
      <c r="A254">
        <v>1.2350000000000001</v>
      </c>
      <c r="B254">
        <f t="shared" si="57"/>
        <v>2.869270103745411E-2</v>
      </c>
      <c r="C254">
        <f t="shared" si="58"/>
        <v>0.13130729896254589</v>
      </c>
      <c r="D254">
        <f t="shared" si="59"/>
        <v>8.0348613056678911E-2</v>
      </c>
      <c r="E254">
        <f t="shared" si="50"/>
        <v>8.0539129984903327E-2</v>
      </c>
      <c r="F254">
        <f t="shared" si="51"/>
        <v>8.593361415143666E-2</v>
      </c>
      <c r="G254">
        <f t="shared" si="52"/>
        <v>8.0027272924712858E-2</v>
      </c>
      <c r="H254">
        <f t="shared" si="60"/>
        <v>8.0615847340538588E-2</v>
      </c>
      <c r="I254">
        <f t="shared" si="61"/>
        <v>8.0923771010807874E-2</v>
      </c>
      <c r="J254">
        <f t="shared" si="53"/>
        <v>8.0808694977354975E-2</v>
      </c>
      <c r="K254">
        <f t="shared" si="54"/>
        <v>0.13080869497735498</v>
      </c>
      <c r="L254">
        <f t="shared" si="55"/>
        <v>3.0808694977354972E-2</v>
      </c>
      <c r="M254">
        <f t="shared" si="62"/>
        <v>8.0246338936215439E-2</v>
      </c>
      <c r="N254">
        <f t="shared" si="65"/>
        <v>3.0808694977354972E-2</v>
      </c>
      <c r="O254">
        <f t="shared" si="56"/>
        <v>0.13130729896254589</v>
      </c>
      <c r="P254">
        <f t="shared" si="63"/>
        <v>3.1045692360261876E-2</v>
      </c>
      <c r="Q254">
        <f t="shared" si="64"/>
        <v>0.13144478879463617</v>
      </c>
    </row>
    <row r="255" spans="1:17" x14ac:dyDescent="0.45">
      <c r="A255">
        <v>1.24</v>
      </c>
      <c r="B255">
        <f t="shared" si="57"/>
        <v>2.8724978363844633E-2</v>
      </c>
      <c r="C255">
        <f t="shared" si="58"/>
        <v>0.13127502163615537</v>
      </c>
      <c r="D255">
        <f t="shared" si="59"/>
        <v>8.0340005769641426E-2</v>
      </c>
      <c r="E255">
        <f t="shared" si="50"/>
        <v>8.0502471171234519E-2</v>
      </c>
      <c r="F255">
        <f t="shared" si="51"/>
        <v>8.5684407727348366E-2</v>
      </c>
      <c r="G255">
        <f t="shared" si="52"/>
        <v>8.0024246738751373E-2</v>
      </c>
      <c r="H255">
        <f t="shared" si="60"/>
        <v>8.057692018598861E-2</v>
      </c>
      <c r="I255">
        <f t="shared" si="61"/>
        <v>8.0865380278982907E-2</v>
      </c>
      <c r="J255">
        <f t="shared" si="53"/>
        <v>8.075370675685177E-2</v>
      </c>
      <c r="K255">
        <f t="shared" si="54"/>
        <v>0.13075370675685177</v>
      </c>
      <c r="L255">
        <f t="shared" si="55"/>
        <v>3.0753706756851767E-2</v>
      </c>
      <c r="M255">
        <f t="shared" si="62"/>
        <v>8.0230768074395442E-2</v>
      </c>
      <c r="N255">
        <f t="shared" si="65"/>
        <v>3.0753706756851767E-2</v>
      </c>
      <c r="O255">
        <f t="shared" si="56"/>
        <v>0.13127502163615537</v>
      </c>
      <c r="P255">
        <f t="shared" si="63"/>
        <v>3.0983873583344521E-2</v>
      </c>
      <c r="Q255">
        <f t="shared" si="64"/>
        <v>0.13140911683219614</v>
      </c>
    </row>
    <row r="256" spans="1:17" x14ac:dyDescent="0.45">
      <c r="A256">
        <v>1.2450000000000001</v>
      </c>
      <c r="B256">
        <f t="shared" si="57"/>
        <v>2.875645876020709E-2</v>
      </c>
      <c r="C256">
        <f t="shared" si="58"/>
        <v>0.13124354123979293</v>
      </c>
      <c r="D256">
        <f t="shared" si="59"/>
        <v>8.0331610997278105E-2</v>
      </c>
      <c r="E256">
        <f t="shared" si="50"/>
        <v>8.046693695693917E-2</v>
      </c>
      <c r="F256">
        <f t="shared" si="51"/>
        <v>8.5437542700353683E-2</v>
      </c>
      <c r="G256">
        <f t="shared" si="52"/>
        <v>8.0021383426385664E-2</v>
      </c>
      <c r="H256">
        <f t="shared" si="60"/>
        <v>8.0539129984903327E-2</v>
      </c>
      <c r="I256">
        <f t="shared" si="61"/>
        <v>8.0808694977354975E-2</v>
      </c>
      <c r="J256">
        <f t="shared" si="53"/>
        <v>8.070040543540874E-2</v>
      </c>
      <c r="K256">
        <f t="shared" si="54"/>
        <v>0.13070040543540873</v>
      </c>
      <c r="L256">
        <f t="shared" si="55"/>
        <v>3.0700405435408737E-2</v>
      </c>
      <c r="M256">
        <f t="shared" si="62"/>
        <v>8.0215651993961329E-2</v>
      </c>
      <c r="N256">
        <f t="shared" si="65"/>
        <v>3.0700405435408737E-2</v>
      </c>
      <c r="O256">
        <f t="shared" si="56"/>
        <v>0.13124354123979293</v>
      </c>
      <c r="P256">
        <f t="shared" si="63"/>
        <v>3.0923771010807871E-2</v>
      </c>
      <c r="Q256">
        <f t="shared" si="64"/>
        <v>0.13137432561364687</v>
      </c>
    </row>
    <row r="257" spans="1:17" x14ac:dyDescent="0.45">
      <c r="A257">
        <v>1.25</v>
      </c>
      <c r="B257">
        <f t="shared" si="57"/>
        <v>2.8787161902813982E-2</v>
      </c>
      <c r="C257">
        <f t="shared" si="58"/>
        <v>0.13121283809718604</v>
      </c>
      <c r="D257">
        <f t="shared" si="59"/>
        <v>8.0323423492582938E-2</v>
      </c>
      <c r="E257">
        <f t="shared" si="50"/>
        <v>8.0432519400537181E-2</v>
      </c>
      <c r="F257">
        <f t="shared" si="51"/>
        <v>8.5193184490818155E-2</v>
      </c>
      <c r="G257">
        <f t="shared" si="52"/>
        <v>8.0018677264858146E-2</v>
      </c>
      <c r="H257">
        <f t="shared" si="60"/>
        <v>8.0502471171234519E-2</v>
      </c>
      <c r="I257">
        <f t="shared" si="61"/>
        <v>8.075370675685177E-2</v>
      </c>
      <c r="J257">
        <f t="shared" si="53"/>
        <v>8.064877910080577E-2</v>
      </c>
      <c r="K257">
        <f t="shared" si="54"/>
        <v>0.13064877910080577</v>
      </c>
      <c r="L257">
        <f t="shared" si="55"/>
        <v>3.0648779100805768E-2</v>
      </c>
      <c r="M257">
        <f t="shared" si="62"/>
        <v>8.0200988468493814E-2</v>
      </c>
      <c r="N257">
        <f t="shared" si="65"/>
        <v>3.0648779100805768E-2</v>
      </c>
      <c r="O257">
        <f t="shared" si="56"/>
        <v>0.13121283809718604</v>
      </c>
      <c r="P257">
        <f t="shared" si="63"/>
        <v>3.0865380278982904E-2</v>
      </c>
      <c r="Q257">
        <f t="shared" si="64"/>
        <v>0.13134039339334419</v>
      </c>
    </row>
    <row r="258" spans="1:17" x14ac:dyDescent="0.45">
      <c r="A258">
        <v>1.2549999999999999</v>
      </c>
      <c r="B258">
        <f t="shared" si="57"/>
        <v>2.8817106982128887E-2</v>
      </c>
      <c r="C258">
        <f t="shared" si="58"/>
        <v>0.13118289301787112</v>
      </c>
      <c r="D258">
        <f t="shared" si="59"/>
        <v>8.0315438138098966E-2</v>
      </c>
      <c r="E258">
        <f t="shared" si="50"/>
        <v>8.0399209473848113E-2</v>
      </c>
      <c r="F258">
        <f t="shared" si="51"/>
        <v>8.4951490880889172E-2</v>
      </c>
      <c r="G258">
        <f t="shared" si="52"/>
        <v>8.001612262205729E-2</v>
      </c>
      <c r="H258">
        <f t="shared" si="60"/>
        <v>8.046693695693917E-2</v>
      </c>
      <c r="I258">
        <f t="shared" si="61"/>
        <v>8.070040543540874E-2</v>
      </c>
      <c r="J258">
        <f t="shared" si="53"/>
        <v>8.0598814210772168E-2</v>
      </c>
      <c r="K258">
        <f t="shared" si="54"/>
        <v>0.13059881421077218</v>
      </c>
      <c r="L258">
        <f t="shared" si="55"/>
        <v>3.0598814210772166E-2</v>
      </c>
      <c r="M258">
        <f t="shared" si="62"/>
        <v>8.0186774782775666E-2</v>
      </c>
      <c r="N258">
        <f t="shared" si="65"/>
        <v>3.0598814210772166E-2</v>
      </c>
      <c r="O258">
        <f t="shared" si="56"/>
        <v>0.13118289301787112</v>
      </c>
      <c r="P258">
        <f t="shared" si="63"/>
        <v>3.0808694977354972E-2</v>
      </c>
      <c r="Q258">
        <f t="shared" si="64"/>
        <v>0.13130729896254589</v>
      </c>
    </row>
    <row r="259" spans="1:17" x14ac:dyDescent="0.45">
      <c r="A259">
        <v>1.26</v>
      </c>
      <c r="B259">
        <f t="shared" si="57"/>
        <v>2.8846312714801203E-2</v>
      </c>
      <c r="C259">
        <f t="shared" si="58"/>
        <v>0.1311536872851988</v>
      </c>
      <c r="D259">
        <f t="shared" si="59"/>
        <v>8.0307649942719689E-2</v>
      </c>
      <c r="E259">
        <f t="shared" si="50"/>
        <v>8.0366997126907563E-2</v>
      </c>
      <c r="F259">
        <f t="shared" si="51"/>
        <v>8.4712612102192775E-2</v>
      </c>
      <c r="G259">
        <f t="shared" si="52"/>
        <v>8.0013713961219785E-2</v>
      </c>
      <c r="H259">
        <f t="shared" si="60"/>
        <v>8.0432519400537181E-2</v>
      </c>
      <c r="I259">
        <f t="shared" si="61"/>
        <v>8.064877910080577E-2</v>
      </c>
      <c r="J259">
        <f t="shared" si="53"/>
        <v>8.0550495690361351E-2</v>
      </c>
      <c r="K259">
        <f t="shared" si="54"/>
        <v>0.13055049569036137</v>
      </c>
      <c r="L259">
        <f t="shared" si="55"/>
        <v>3.0550495690361348E-2</v>
      </c>
      <c r="M259">
        <f t="shared" si="62"/>
        <v>8.0173007760214868E-2</v>
      </c>
      <c r="N259">
        <f t="shared" si="65"/>
        <v>3.0550495690361348E-2</v>
      </c>
      <c r="O259">
        <f t="shared" si="56"/>
        <v>0.1311536872851988</v>
      </c>
      <c r="P259">
        <f t="shared" si="63"/>
        <v>3.0753706756851767E-2</v>
      </c>
      <c r="Q259">
        <f t="shared" si="64"/>
        <v>0.13127502163615537</v>
      </c>
    </row>
    <row r="260" spans="1:17" x14ac:dyDescent="0.45">
      <c r="A260">
        <v>1.2649999999999999</v>
      </c>
      <c r="B260">
        <f t="shared" si="57"/>
        <v>2.8874797355364551E-2</v>
      </c>
      <c r="C260">
        <f t="shared" si="58"/>
        <v>0.13112520264463545</v>
      </c>
      <c r="D260">
        <f t="shared" si="59"/>
        <v>8.0300054038569449E-2</v>
      </c>
      <c r="E260">
        <f t="shared" si="50"/>
        <v>8.0335871351066276E-2</v>
      </c>
      <c r="F260">
        <f t="shared" si="51"/>
        <v>8.4476690928083298E-2</v>
      </c>
      <c r="G260">
        <f t="shared" si="52"/>
        <v>8.001144584511985E-2</v>
      </c>
      <c r="H260">
        <f t="shared" si="60"/>
        <v>8.0399209473848113E-2</v>
      </c>
      <c r="I260">
        <f t="shared" si="61"/>
        <v>8.0598814210772168E-2</v>
      </c>
      <c r="J260">
        <f t="shared" si="53"/>
        <v>8.0503807026599428E-2</v>
      </c>
      <c r="K260">
        <f t="shared" si="54"/>
        <v>0.13050380702659942</v>
      </c>
      <c r="L260">
        <f t="shared" si="55"/>
        <v>3.0503807026599425E-2</v>
      </c>
      <c r="M260">
        <f t="shared" si="62"/>
        <v>8.0159683789539249E-2</v>
      </c>
      <c r="N260">
        <f t="shared" si="65"/>
        <v>3.0503807026599425E-2</v>
      </c>
      <c r="O260">
        <f t="shared" si="56"/>
        <v>0.13112520264463545</v>
      </c>
      <c r="P260">
        <f t="shared" si="63"/>
        <v>3.0700405435408737E-2</v>
      </c>
      <c r="Q260">
        <f t="shared" si="64"/>
        <v>0.13124354123979293</v>
      </c>
    </row>
    <row r="261" spans="1:17" x14ac:dyDescent="0.45">
      <c r="A261">
        <v>1.27</v>
      </c>
      <c r="B261">
        <f t="shared" si="57"/>
        <v>2.8902578707646551E-2</v>
      </c>
      <c r="C261">
        <f t="shared" si="58"/>
        <v>0.13109742129235347</v>
      </c>
      <c r="D261">
        <f t="shared" si="59"/>
        <v>8.0292645677960919E-2</v>
      </c>
      <c r="E261">
        <f t="shared" si="50"/>
        <v>8.0305820240277451E-2</v>
      </c>
      <c r="F261">
        <f t="shared" si="51"/>
        <v>8.4243862770213299E-2</v>
      </c>
      <c r="G261">
        <f t="shared" si="52"/>
        <v>8.0009312939773092E-2</v>
      </c>
      <c r="H261">
        <f t="shared" si="60"/>
        <v>8.0366997126907563E-2</v>
      </c>
      <c r="I261">
        <f t="shared" si="61"/>
        <v>8.0550495690361351E-2</v>
      </c>
      <c r="J261">
        <f t="shared" si="53"/>
        <v>8.0458730360416175E-2</v>
      </c>
      <c r="K261">
        <f t="shared" si="54"/>
        <v>0.13045873036041616</v>
      </c>
      <c r="L261">
        <f t="shared" si="55"/>
        <v>3.0458730360416172E-2</v>
      </c>
      <c r="M261">
        <f t="shared" si="62"/>
        <v>8.0146798850763021E-2</v>
      </c>
      <c r="N261">
        <f t="shared" si="65"/>
        <v>3.0458730360416172E-2</v>
      </c>
      <c r="O261">
        <f t="shared" si="56"/>
        <v>0.13109742129235347</v>
      </c>
      <c r="P261">
        <f t="shared" si="63"/>
        <v>3.0648779100805768E-2</v>
      </c>
      <c r="Q261">
        <f t="shared" si="64"/>
        <v>0.13121283809718604</v>
      </c>
    </row>
    <row r="262" spans="1:17" x14ac:dyDescent="0.45">
      <c r="A262">
        <v>1.2749999999999999</v>
      </c>
      <c r="B262">
        <f t="shared" si="57"/>
        <v>2.8929674135896741E-2</v>
      </c>
      <c r="C262">
        <f t="shared" si="58"/>
        <v>0.13107032586410328</v>
      </c>
      <c r="D262">
        <f t="shared" si="59"/>
        <v>8.0285420230427534E-2</v>
      </c>
      <c r="E262">
        <f t="shared" si="50"/>
        <v>8.0276831050579492E-2</v>
      </c>
      <c r="F262">
        <f t="shared" si="51"/>
        <v>8.4014255779193955E-2</v>
      </c>
      <c r="G262">
        <f t="shared" si="52"/>
        <v>8.0007310017681521E-2</v>
      </c>
      <c r="H262">
        <f t="shared" si="60"/>
        <v>8.0335871351066276E-2</v>
      </c>
      <c r="I262">
        <f t="shared" si="61"/>
        <v>8.0503807026599428E-2</v>
      </c>
      <c r="J262">
        <f t="shared" si="53"/>
        <v>8.0415246575869237E-2</v>
      </c>
      <c r="K262">
        <f t="shared" si="54"/>
        <v>0.13041524657586923</v>
      </c>
      <c r="L262">
        <f t="shared" si="55"/>
        <v>3.0415246575869234E-2</v>
      </c>
      <c r="M262">
        <f t="shared" si="62"/>
        <v>8.0134348540426517E-2</v>
      </c>
      <c r="N262">
        <f t="shared" si="65"/>
        <v>3.0415246575869234E-2</v>
      </c>
      <c r="O262">
        <f t="shared" si="56"/>
        <v>0.13107032586410328</v>
      </c>
      <c r="P262">
        <f t="shared" si="63"/>
        <v>3.0598814210772166E-2</v>
      </c>
      <c r="Q262">
        <f t="shared" si="64"/>
        <v>0.13118289301787112</v>
      </c>
    </row>
    <row r="263" spans="1:17" x14ac:dyDescent="0.45">
      <c r="A263">
        <v>1.28</v>
      </c>
      <c r="B263">
        <f t="shared" si="57"/>
        <v>2.8956100575639798E-2</v>
      </c>
      <c r="C263">
        <f t="shared" si="58"/>
        <v>0.13104389942436021</v>
      </c>
      <c r="D263">
        <f t="shared" si="59"/>
        <v>8.0278373179829388E-2</v>
      </c>
      <c r="E263">
        <f t="shared" ref="E263:E326" si="66">P0-SIGN(DeltaThetaDeg)*EXP(-Xi*Wn*A263)*(COS(Wd*A263)-(Xi*Wn-1)/(Wd)*SIN(Wd*A263))*Ppeak</f>
        <v>8.024889025778395E-2</v>
      </c>
      <c r="F263">
        <f t="shared" ref="F263:F270" si="67">P0-SIGN(DeltaThetaDeg)*EXP(-Ximin*Wnmin*A263)*(COS(Wdmin*A263)-(Ximin*Wnmin-1)/(Wdmin)*SIN(Wdmin*A263))*Ppeak</f>
        <v>8.3787990949119817E-2</v>
      </c>
      <c r="G263">
        <f t="shared" ref="G263:G270" si="68">P0-SIGN(DeltaThetaDeg)*EXP(-Ximax*Wnmax*A263)*(COS(Wdmax*A263)-(Ximax*Wnmax-1)/(Wdmax)*SIN(Wdmax*A263))*Ppeak</f>
        <v>8.0005431960645038E-2</v>
      </c>
      <c r="H263">
        <f t="shared" si="60"/>
        <v>8.0305820240277451E-2</v>
      </c>
      <c r="I263">
        <f t="shared" si="61"/>
        <v>8.0458730360416175E-2</v>
      </c>
      <c r="J263">
        <f t="shared" ref="J263:J270" si="69">P0-SIGN(DeltaThetaDeg)*(1+Marge_haute)*EXP(-Xi*Wn*A263)*(COS(Wd*A263)-(Xi*Wn-1)/(Wd)*SIN(Wd*A263))*Ppeak</f>
        <v>8.0373335386675918E-2</v>
      </c>
      <c r="K263">
        <f t="shared" ref="K263:K270" si="70">J263-SIGN(DeltaThetaDeg)*Tunnel</f>
        <v>0.13037333538667592</v>
      </c>
      <c r="L263">
        <f t="shared" ref="L263:L270" si="71">J263+SIGN(DeltaThetaDeg)*Tunnel</f>
        <v>3.0373335386675915E-2</v>
      </c>
      <c r="M263">
        <f t="shared" si="62"/>
        <v>8.0122328096110987E-2</v>
      </c>
      <c r="N263">
        <f t="shared" si="65"/>
        <v>3.0373335386675915E-2</v>
      </c>
      <c r="O263">
        <f t="shared" ref="O263:O270" si="72">IF(SIGN(DeltaThetaDeg)=1,MIN(B263,$S$6-SIGN(DeltaThetaDeg)*$W$13,F263),MAX(G263,P0+Tunnel,C263))</f>
        <v>0.13104389942436021</v>
      </c>
      <c r="P263">
        <f t="shared" si="63"/>
        <v>3.0550495690361348E-2</v>
      </c>
      <c r="Q263">
        <f t="shared" si="64"/>
        <v>0.1311536872851988</v>
      </c>
    </row>
    <row r="264" spans="1:17" x14ac:dyDescent="0.45">
      <c r="A264">
        <v>1.2849999999999999</v>
      </c>
      <c r="B264">
        <f t="shared" si="57"/>
        <v>2.8981874544260822E-2</v>
      </c>
      <c r="C264">
        <f t="shared" si="58"/>
        <v>0.13101812545573918</v>
      </c>
      <c r="D264">
        <f t="shared" si="59"/>
        <v>8.0271500121530448E-2</v>
      </c>
      <c r="E264">
        <f t="shared" si="66"/>
        <v>8.0221983613379774E-2</v>
      </c>
      <c r="F264">
        <f t="shared" si="67"/>
        <v>8.3565182225734821E-2</v>
      </c>
      <c r="G264">
        <f t="shared" si="68"/>
        <v>8.0003673762164315E-2</v>
      </c>
      <c r="H264">
        <f t="shared" si="60"/>
        <v>8.0276831050579492E-2</v>
      </c>
      <c r="I264">
        <f t="shared" si="61"/>
        <v>8.0415246575869237E-2</v>
      </c>
      <c r="J264">
        <f t="shared" si="69"/>
        <v>8.0332975420069661E-2</v>
      </c>
      <c r="K264">
        <f t="shared" si="70"/>
        <v>0.13033297542006966</v>
      </c>
      <c r="L264">
        <f t="shared" si="71"/>
        <v>3.0332975420069658E-2</v>
      </c>
      <c r="M264">
        <f t="shared" si="62"/>
        <v>8.0110732420231798E-2</v>
      </c>
      <c r="N264">
        <f t="shared" si="65"/>
        <v>3.0332975420069658E-2</v>
      </c>
      <c r="O264">
        <f t="shared" si="72"/>
        <v>0.13101812545573918</v>
      </c>
      <c r="P264">
        <f t="shared" si="63"/>
        <v>3.0503807026599425E-2</v>
      </c>
      <c r="Q264">
        <f t="shared" si="64"/>
        <v>0.13112520264463545</v>
      </c>
    </row>
    <row r="265" spans="1:17" x14ac:dyDescent="0.45">
      <c r="A265">
        <v>1.29</v>
      </c>
      <c r="B265">
        <f t="shared" ref="B265:B328" si="73">P0-Ppeak*(1+Marge_haute)*EXP(-Sigma*A263)-Tunnel</f>
        <v>2.9007012151329226E-2</v>
      </c>
      <c r="C265">
        <f t="shared" ref="C265:C328" si="74">P0+Ppeak*(1+Marge_haute)*EXP(-Sigma*A263)+Tunnel</f>
        <v>0.13099298784867078</v>
      </c>
      <c r="D265">
        <f t="shared" ref="D265:D328" si="75">P0-SIGN(DeltaThetaDeg)*Marge_basse*Ppeak*EXP(-Sigma*A263)</f>
        <v>8.026479675964554E-2</v>
      </c>
      <c r="E265">
        <f t="shared" si="66"/>
        <v>8.0196096198667313E-2</v>
      </c>
      <c r="F265">
        <f t="shared" si="67"/>
        <v>8.3345936618020033E-2</v>
      </c>
      <c r="G265">
        <f t="shared" si="68"/>
        <v>8.0002030529458409E-2</v>
      </c>
      <c r="H265">
        <f t="shared" ref="H265:H270" si="76">P0-SIGN(DeltaThetaDeg)*EXP(-Xi*Wn*A263)*(COS(Wd*A263)-(Xi*Wn-1)/(Wd)*SIN(Wd*A263))*Ppeak</f>
        <v>8.024889025778395E-2</v>
      </c>
      <c r="I265">
        <f t="shared" ref="I265:I270" si="77">P0-SIGN(DeltaThetaDeg)*(1+Marge_haute)*EXP(-Xi*Wn*A263)*(COS(Wd*A263)-(Xi*Wn-1)/(Wd)*SIN(Wd*A263))*Ppeak</f>
        <v>8.0373335386675918E-2</v>
      </c>
      <c r="J265">
        <f t="shared" si="69"/>
        <v>8.0294144298000969E-2</v>
      </c>
      <c r="K265">
        <f t="shared" si="70"/>
        <v>0.13029414429800096</v>
      </c>
      <c r="L265">
        <f t="shared" si="71"/>
        <v>3.0294144298000966E-2</v>
      </c>
      <c r="M265">
        <f t="shared" ref="M265:M270" si="78">P0-SIGN(DeltaThetaDeg)*Marge_basse*EXP(-Xi*Wn*A263)*(COS(Wd*A263)-(Xi*Wn-1)/(Wd)*SIN(Wd*A263))*Ppeak</f>
        <v>8.0099556103113576E-2</v>
      </c>
      <c r="N265">
        <f t="shared" si="65"/>
        <v>3.0294144298000966E-2</v>
      </c>
      <c r="O265">
        <f t="shared" si="72"/>
        <v>0.13099298784867078</v>
      </c>
      <c r="P265">
        <f t="shared" si="63"/>
        <v>3.0458730360416172E-2</v>
      </c>
      <c r="Q265">
        <f t="shared" si="64"/>
        <v>0.13109742129235347</v>
      </c>
    </row>
    <row r="266" spans="1:17" x14ac:dyDescent="0.45">
      <c r="A266">
        <v>1.2949999999999999</v>
      </c>
      <c r="B266">
        <f t="shared" si="73"/>
        <v>2.90315291086677E-2</v>
      </c>
      <c r="C266">
        <f t="shared" si="74"/>
        <v>0.13096847089133229</v>
      </c>
      <c r="D266">
        <f t="shared" si="75"/>
        <v>8.0258258904355284E-2</v>
      </c>
      <c r="E266">
        <f t="shared" si="66"/>
        <v>8.0171212477136752E-2</v>
      </c>
      <c r="F266">
        <f t="shared" si="67"/>
        <v>8.3130354312987459E-2</v>
      </c>
      <c r="G266">
        <f t="shared" si="68"/>
        <v>8.000049748512035E-2</v>
      </c>
      <c r="H266">
        <f t="shared" si="76"/>
        <v>8.0221983613379774E-2</v>
      </c>
      <c r="I266">
        <f t="shared" si="77"/>
        <v>8.0332975420069661E-2</v>
      </c>
      <c r="J266">
        <f t="shared" si="69"/>
        <v>8.0256818715705142E-2</v>
      </c>
      <c r="K266">
        <f t="shared" si="70"/>
        <v>0.13025681871570516</v>
      </c>
      <c r="L266">
        <f t="shared" si="71"/>
        <v>3.0256818715705139E-2</v>
      </c>
      <c r="M266">
        <f t="shared" si="78"/>
        <v>8.0088793445351913E-2</v>
      </c>
      <c r="N266">
        <f t="shared" si="65"/>
        <v>3.0256818715705139E-2</v>
      </c>
      <c r="O266">
        <f t="shared" si="72"/>
        <v>0.13096847089133229</v>
      </c>
      <c r="P266">
        <f t="shared" si="63"/>
        <v>3.0415246575869234E-2</v>
      </c>
      <c r="Q266">
        <f t="shared" si="64"/>
        <v>0.13107032586410328</v>
      </c>
    </row>
    <row r="267" spans="1:17" x14ac:dyDescent="0.45">
      <c r="A267">
        <v>1.3</v>
      </c>
      <c r="B267">
        <f t="shared" si="73"/>
        <v>2.9055440740172689E-2</v>
      </c>
      <c r="C267">
        <f t="shared" si="74"/>
        <v>0.13094455925982731</v>
      </c>
      <c r="D267">
        <f t="shared" si="75"/>
        <v>8.0251882469287286E-2</v>
      </c>
      <c r="E267">
        <f t="shared" si="66"/>
        <v>8.0147316345107605E-2</v>
      </c>
      <c r="F267">
        <f t="shared" si="67"/>
        <v>8.2918528793467505E-2</v>
      </c>
      <c r="G267">
        <f t="shared" si="68"/>
        <v>7.9999069968432215E-2</v>
      </c>
      <c r="H267">
        <f t="shared" si="76"/>
        <v>8.0196096198667313E-2</v>
      </c>
      <c r="I267">
        <f t="shared" si="77"/>
        <v>8.0294144298000969E-2</v>
      </c>
      <c r="J267">
        <f t="shared" si="69"/>
        <v>8.02209745176614E-2</v>
      </c>
      <c r="K267">
        <f t="shared" si="70"/>
        <v>0.1302209745176614</v>
      </c>
      <c r="L267">
        <f t="shared" si="71"/>
        <v>3.0220974517661398E-2</v>
      </c>
      <c r="M267">
        <f t="shared" si="78"/>
        <v>8.0078438479466926E-2</v>
      </c>
      <c r="N267">
        <f t="shared" si="65"/>
        <v>3.0220974517661398E-2</v>
      </c>
      <c r="O267">
        <f t="shared" si="72"/>
        <v>0.13094455925982731</v>
      </c>
      <c r="P267">
        <f t="shared" ref="P267:P330" si="79">IF(EMT_simulation,N263,N267)</f>
        <v>3.0373335386675915E-2</v>
      </c>
      <c r="Q267">
        <f t="shared" ref="Q267:Q330" si="80">IF(EMT_simulation,O263,O267)</f>
        <v>0.13104389942436021</v>
      </c>
    </row>
    <row r="268" spans="1:17" x14ac:dyDescent="0.45">
      <c r="A268">
        <v>1.3049999999999999</v>
      </c>
      <c r="B268">
        <f t="shared" si="73"/>
        <v>2.9078761991392282E-2</v>
      </c>
      <c r="C268">
        <f t="shared" si="74"/>
        <v>0.13092123800860772</v>
      </c>
      <c r="D268">
        <f t="shared" si="75"/>
        <v>8.0245663468962058E-2</v>
      </c>
      <c r="E268">
        <f t="shared" si="66"/>
        <v>8.012439118064707E-2</v>
      </c>
      <c r="F268">
        <f t="shared" si="67"/>
        <v>8.2710546958681935E-2</v>
      </c>
      <c r="G268">
        <f t="shared" si="68"/>
        <v>7.9997743436361055E-2</v>
      </c>
      <c r="H268">
        <f t="shared" si="76"/>
        <v>8.0171212477136752E-2</v>
      </c>
      <c r="I268">
        <f t="shared" si="77"/>
        <v>8.0256818715705142E-2</v>
      </c>
      <c r="J268">
        <f t="shared" si="69"/>
        <v>8.0186586770970611E-2</v>
      </c>
      <c r="K268">
        <f t="shared" si="70"/>
        <v>0.13018658677097061</v>
      </c>
      <c r="L268">
        <f t="shared" si="71"/>
        <v>3.0186586770970608E-2</v>
      </c>
      <c r="M268">
        <f t="shared" si="78"/>
        <v>8.0068484990854699E-2</v>
      </c>
      <c r="N268">
        <f t="shared" si="65"/>
        <v>3.0186586770970608E-2</v>
      </c>
      <c r="O268">
        <f t="shared" si="72"/>
        <v>0.13092123800860772</v>
      </c>
      <c r="P268">
        <f t="shared" si="79"/>
        <v>3.0332975420069658E-2</v>
      </c>
      <c r="Q268">
        <f t="shared" si="80"/>
        <v>0.13101812545573918</v>
      </c>
    </row>
    <row r="269" spans="1:17" x14ac:dyDescent="0.45">
      <c r="A269">
        <v>1.31</v>
      </c>
      <c r="B269">
        <f t="shared" si="73"/>
        <v>2.9101507438867649E-2</v>
      </c>
      <c r="C269">
        <f t="shared" si="74"/>
        <v>0.13089849256113234</v>
      </c>
      <c r="D269">
        <f t="shared" si="75"/>
        <v>8.0239598016301955E-2</v>
      </c>
      <c r="E269">
        <f t="shared" si="66"/>
        <v>8.0102419890786883E-2</v>
      </c>
      <c r="F269">
        <f t="shared" si="67"/>
        <v>8.2506489247397549E-2</v>
      </c>
      <c r="G269">
        <f t="shared" si="68"/>
        <v>7.9996513464255736E-2</v>
      </c>
      <c r="H269">
        <f t="shared" si="76"/>
        <v>8.0147316345107605E-2</v>
      </c>
      <c r="I269">
        <f t="shared" si="77"/>
        <v>8.02209745176614E-2</v>
      </c>
      <c r="J269">
        <f t="shared" si="69"/>
        <v>8.0153629836180323E-2</v>
      </c>
      <c r="K269">
        <f t="shared" si="70"/>
        <v>0.13015362983618034</v>
      </c>
      <c r="L269">
        <f t="shared" si="71"/>
        <v>3.0153629836180321E-2</v>
      </c>
      <c r="M269">
        <f t="shared" si="78"/>
        <v>8.0058926538043043E-2</v>
      </c>
      <c r="N269">
        <f t="shared" ref="N269:N270" si="81">IF(SIGN(DeltaThetaDeg)=1,MAX(D269:M269),MIN(F269:M269))</f>
        <v>3.0153629836180321E-2</v>
      </c>
      <c r="O269">
        <f t="shared" si="72"/>
        <v>0.13089849256113234</v>
      </c>
      <c r="P269">
        <f t="shared" si="79"/>
        <v>3.0294144298000966E-2</v>
      </c>
      <c r="Q269">
        <f t="shared" si="80"/>
        <v>0.13099298784867078</v>
      </c>
    </row>
    <row r="270" spans="1:17" x14ac:dyDescent="0.45">
      <c r="A270">
        <v>1.3149999999999999</v>
      </c>
      <c r="B270">
        <f t="shared" si="73"/>
        <v>2.9123691299243901E-2</v>
      </c>
      <c r="C270">
        <f t="shared" si="74"/>
        <v>0.13087630870075612</v>
      </c>
      <c r="D270">
        <f t="shared" si="75"/>
        <v>8.023368232020163E-2</v>
      </c>
      <c r="E270">
        <f t="shared" si="66"/>
        <v>8.0081384957058965E-2</v>
      </c>
      <c r="F270">
        <f t="shared" si="67"/>
        <v>8.2306429763460226E-2</v>
      </c>
      <c r="G270">
        <f t="shared" si="68"/>
        <v>7.9995375746264252E-2</v>
      </c>
      <c r="H270">
        <f t="shared" si="76"/>
        <v>8.012439118064707E-2</v>
      </c>
      <c r="I270">
        <f t="shared" si="77"/>
        <v>8.0186586770970611E-2</v>
      </c>
      <c r="J270">
        <f t="shared" si="69"/>
        <v>8.012207743558844E-2</v>
      </c>
      <c r="K270">
        <f t="shared" si="70"/>
        <v>0.13012207743558846</v>
      </c>
      <c r="L270">
        <f t="shared" si="71"/>
        <v>3.0122077435588437E-2</v>
      </c>
      <c r="M270">
        <f t="shared" si="78"/>
        <v>8.0049756472258829E-2</v>
      </c>
      <c r="N270">
        <f t="shared" si="81"/>
        <v>3.0122077435588437E-2</v>
      </c>
      <c r="O270">
        <f t="shared" si="72"/>
        <v>0.13087630870075612</v>
      </c>
      <c r="P270">
        <f t="shared" si="79"/>
        <v>3.0256818715705139E-2</v>
      </c>
      <c r="Q270">
        <f t="shared" si="80"/>
        <v>0.13096847089133229</v>
      </c>
    </row>
    <row r="271" spans="1:17" x14ac:dyDescent="0.45">
      <c r="A271">
        <v>1.32</v>
      </c>
      <c r="B271">
        <f t="shared" si="73"/>
        <v>2.9145327438155899E-2</v>
      </c>
      <c r="C271">
        <f t="shared" si="74"/>
        <v>0.1308546725618441</v>
      </c>
      <c r="D271">
        <f t="shared" si="75"/>
        <v>8.0227912683158431E-2</v>
      </c>
      <c r="E271">
        <f t="shared" si="66"/>
        <v>8.0061268479372047E-2</v>
      </c>
      <c r="P271">
        <f t="shared" si="79"/>
        <v>3.0220974517661398E-2</v>
      </c>
      <c r="Q271">
        <f t="shared" si="80"/>
        <v>0.13094455925982731</v>
      </c>
    </row>
    <row r="272" spans="1:17" x14ac:dyDescent="0.45">
      <c r="A272">
        <v>1.325</v>
      </c>
      <c r="B272">
        <f t="shared" si="73"/>
        <v>2.9166429378894798E-2</v>
      </c>
      <c r="C272">
        <f t="shared" si="74"/>
        <v>0.13083357062110521</v>
      </c>
      <c r="D272">
        <f t="shared" si="75"/>
        <v>8.022228549896139E-2</v>
      </c>
      <c r="E272">
        <f t="shared" si="66"/>
        <v>8.0042052218252169E-2</v>
      </c>
      <c r="P272">
        <f t="shared" si="79"/>
        <v>3.0186586770970608E-2</v>
      </c>
      <c r="Q272">
        <f t="shared" si="80"/>
        <v>0.13092123800860772</v>
      </c>
    </row>
    <row r="273" spans="1:17" x14ac:dyDescent="0.45">
      <c r="A273">
        <v>1.33</v>
      </c>
      <c r="B273">
        <f t="shared" si="73"/>
        <v>2.9187010310860489E-2</v>
      </c>
      <c r="C273">
        <f t="shared" si="74"/>
        <v>0.13081298968913951</v>
      </c>
      <c r="D273">
        <f t="shared" si="75"/>
        <v>8.0216797250437205E-2</v>
      </c>
      <c r="E273">
        <f t="shared" si="66"/>
        <v>8.0023717635470976E-2</v>
      </c>
      <c r="P273">
        <f t="shared" si="79"/>
        <v>3.0153629836180321E-2</v>
      </c>
      <c r="Q273">
        <f t="shared" si="80"/>
        <v>0.13089849256113234</v>
      </c>
    </row>
    <row r="274" spans="1:17" x14ac:dyDescent="0.45">
      <c r="A274">
        <v>1.335</v>
      </c>
      <c r="B274">
        <f t="shared" si="73"/>
        <v>2.9207083097805397E-2</v>
      </c>
      <c r="C274">
        <f t="shared" si="74"/>
        <v>0.13079291690219461</v>
      </c>
      <c r="D274">
        <f t="shared" si="75"/>
        <v>8.02114445072519E-2</v>
      </c>
      <c r="E274">
        <f t="shared" si="66"/>
        <v>8.0006245933087056E-2</v>
      </c>
      <c r="P274">
        <f t="shared" si="79"/>
        <v>3.0122077435588437E-2</v>
      </c>
      <c r="Q274">
        <f t="shared" si="80"/>
        <v>0.13087630870075612</v>
      </c>
    </row>
    <row r="275" spans="1:17" x14ac:dyDescent="0.45">
      <c r="A275">
        <v>1.34</v>
      </c>
      <c r="B275">
        <f t="shared" si="73"/>
        <v>2.9226660285874811E-2</v>
      </c>
      <c r="C275">
        <f t="shared" si="74"/>
        <v>0.13077333971412519</v>
      </c>
      <c r="D275">
        <f t="shared" si="75"/>
        <v>8.0206223923766723E-2</v>
      </c>
      <c r="E275">
        <f t="shared" si="66"/>
        <v>7.9989618090925863E-2</v>
      </c>
      <c r="P275">
        <f t="shared" si="79"/>
        <v>0</v>
      </c>
      <c r="Q275">
        <f t="shared" si="80"/>
        <v>0</v>
      </c>
    </row>
    <row r="276" spans="1:17" x14ac:dyDescent="0.45">
      <c r="A276">
        <v>1.345</v>
      </c>
      <c r="B276">
        <f t="shared" si="73"/>
        <v>2.9245754111448544E-2</v>
      </c>
      <c r="C276">
        <f t="shared" si="74"/>
        <v>0.13075424588855145</v>
      </c>
      <c r="D276">
        <f t="shared" si="75"/>
        <v>8.0201132236947054E-2</v>
      </c>
      <c r="E276">
        <f t="shared" si="66"/>
        <v>7.9973814902525267E-2</v>
      </c>
      <c r="P276">
        <f t="shared" si="79"/>
        <v>0</v>
      </c>
      <c r="Q276">
        <f t="shared" si="80"/>
        <v>0</v>
      </c>
    </row>
    <row r="277" spans="1:17" x14ac:dyDescent="0.45">
      <c r="A277">
        <v>1.35</v>
      </c>
      <c r="B277">
        <f t="shared" si="73"/>
        <v>2.9264376508789144E-2</v>
      </c>
      <c r="C277">
        <f t="shared" si="74"/>
        <v>0.13073562349121087</v>
      </c>
      <c r="D277">
        <f t="shared" si="75"/>
        <v>8.0196166264322896E-2</v>
      </c>
      <c r="E277">
        <f t="shared" si="66"/>
        <v>7.995881700957376E-2</v>
      </c>
      <c r="P277">
        <f t="shared" si="79"/>
        <v>0</v>
      </c>
      <c r="Q277">
        <f t="shared" si="80"/>
        <v>0</v>
      </c>
    </row>
    <row r="278" spans="1:17" x14ac:dyDescent="0.45">
      <c r="A278">
        <v>1.355</v>
      </c>
      <c r="B278">
        <f t="shared" si="73"/>
        <v>2.9282539117501172E-2</v>
      </c>
      <c r="C278">
        <f t="shared" si="74"/>
        <v>0.13071746088249883</v>
      </c>
      <c r="D278">
        <f t="shared" si="75"/>
        <v>8.0191322901999693E-2</v>
      </c>
      <c r="E278">
        <f t="shared" si="66"/>
        <v>7.9944604934869601E-2</v>
      </c>
      <c r="P278">
        <f t="shared" si="79"/>
        <v>0</v>
      </c>
      <c r="Q278">
        <f t="shared" si="80"/>
        <v>0</v>
      </c>
    </row>
    <row r="279" spans="1:17" x14ac:dyDescent="0.45">
      <c r="A279">
        <v>1.36</v>
      </c>
      <c r="B279">
        <f t="shared" si="73"/>
        <v>2.9300253289806288E-2</v>
      </c>
      <c r="C279">
        <f t="shared" si="74"/>
        <v>0.13069974671019371</v>
      </c>
      <c r="D279">
        <f t="shared" si="75"/>
        <v>8.0186599122718319E-2</v>
      </c>
      <c r="E279">
        <f t="shared" si="66"/>
        <v>7.9931159113829475E-2</v>
      </c>
      <c r="P279">
        <f t="shared" si="79"/>
        <v>0</v>
      </c>
      <c r="Q279">
        <f t="shared" si="80"/>
        <v>0</v>
      </c>
    </row>
    <row r="280" spans="1:17" x14ac:dyDescent="0.45">
      <c r="A280">
        <v>1.365</v>
      </c>
      <c r="B280">
        <f t="shared" si="73"/>
        <v>2.9317530097638864E-2</v>
      </c>
      <c r="C280">
        <f t="shared" si="74"/>
        <v>0.13068246990236115</v>
      </c>
      <c r="D280">
        <f t="shared" si="75"/>
        <v>8.0181991973962974E-2</v>
      </c>
      <c r="E280">
        <f t="shared" si="66"/>
        <v>7.9918459924575816E-2</v>
      </c>
      <c r="P280">
        <f t="shared" si="79"/>
        <v>0</v>
      </c>
      <c r="Q280">
        <f t="shared" si="80"/>
        <v>0</v>
      </c>
    </row>
    <row r="281" spans="1:17" x14ac:dyDescent="0.45">
      <c r="A281">
        <v>1.37</v>
      </c>
      <c r="B281">
        <f t="shared" si="73"/>
        <v>2.9334380339566174E-2</v>
      </c>
      <c r="C281">
        <f t="shared" si="74"/>
        <v>0.13066561966043383</v>
      </c>
      <c r="D281">
        <f t="shared" si="75"/>
        <v>8.0177498576115683E-2</v>
      </c>
      <c r="E281">
        <f t="shared" si="66"/>
        <v>7.9906487716632293E-2</v>
      </c>
      <c r="P281">
        <f t="shared" si="79"/>
        <v>0</v>
      </c>
      <c r="Q281">
        <f t="shared" si="80"/>
        <v>0</v>
      </c>
    </row>
    <row r="282" spans="1:17" x14ac:dyDescent="0.45">
      <c r="A282">
        <v>1.375</v>
      </c>
      <c r="B282">
        <f t="shared" si="73"/>
        <v>2.9350814547537948E-2</v>
      </c>
      <c r="C282">
        <f t="shared" si="74"/>
        <v>0.13064918545246207</v>
      </c>
      <c r="D282">
        <f t="shared" si="75"/>
        <v>8.0173116120656543E-2</v>
      </c>
      <c r="E282">
        <f t="shared" si="66"/>
        <v>7.9895222838257646E-2</v>
      </c>
      <c r="P282">
        <f t="shared" si="79"/>
        <v>0</v>
      </c>
      <c r="Q282">
        <f t="shared" si="80"/>
        <v>0</v>
      </c>
    </row>
    <row r="283" spans="1:17" x14ac:dyDescent="0.45">
      <c r="A283">
        <v>1.38</v>
      </c>
      <c r="B283">
        <f t="shared" si="73"/>
        <v>2.9366842993469172E-2</v>
      </c>
      <c r="C283">
        <f t="shared" si="74"/>
        <v>0.13063315700653083</v>
      </c>
      <c r="D283">
        <f t="shared" si="75"/>
        <v>8.0168841868408225E-2</v>
      </c>
      <c r="E283">
        <f t="shared" si="66"/>
        <v>7.9884645662448073E-2</v>
      </c>
      <c r="P283">
        <f t="shared" si="79"/>
        <v>0</v>
      </c>
      <c r="Q283">
        <f t="shared" si="80"/>
        <v>0</v>
      </c>
    </row>
    <row r="284" spans="1:17" x14ac:dyDescent="0.45">
      <c r="A284">
        <v>1.385</v>
      </c>
      <c r="B284">
        <f t="shared" si="73"/>
        <v>2.9382475695660298E-2</v>
      </c>
      <c r="C284">
        <f t="shared" si="74"/>
        <v>0.1306175243043397</v>
      </c>
      <c r="D284">
        <f t="shared" si="75"/>
        <v>8.0164673147823926E-2</v>
      </c>
      <c r="E284">
        <f t="shared" si="66"/>
        <v>7.9874736611638797E-2</v>
      </c>
      <c r="P284">
        <f t="shared" si="79"/>
        <v>0</v>
      </c>
      <c r="Q284">
        <f t="shared" si="80"/>
        <v>0</v>
      </c>
    </row>
    <row r="285" spans="1:17" x14ac:dyDescent="0.45">
      <c r="A285">
        <v>1.39</v>
      </c>
      <c r="B285">
        <f t="shared" si="73"/>
        <v>2.9397722425059086E-2</v>
      </c>
      <c r="C285">
        <f t="shared" si="74"/>
        <v>0.13060227757494092</v>
      </c>
      <c r="D285">
        <f t="shared" si="75"/>
        <v>8.0160607353317578E-2</v>
      </c>
      <c r="E285">
        <f t="shared" si="66"/>
        <v>7.9865476181135722E-2</v>
      </c>
      <c r="P285">
        <f t="shared" si="79"/>
        <v>0</v>
      </c>
      <c r="Q285">
        <f t="shared" si="80"/>
        <v>0</v>
      </c>
    </row>
    <row r="286" spans="1:17" x14ac:dyDescent="0.45">
      <c r="A286">
        <v>1.395</v>
      </c>
      <c r="B286">
        <f t="shared" si="73"/>
        <v>2.941259271136773E-2</v>
      </c>
      <c r="C286">
        <f t="shared" si="74"/>
        <v>0.13058740728863227</v>
      </c>
      <c r="D286">
        <f t="shared" si="75"/>
        <v>8.0156641943635268E-2</v>
      </c>
      <c r="E286">
        <f t="shared" si="66"/>
        <v>7.9856844961308002E-2</v>
      </c>
      <c r="P286">
        <f t="shared" si="79"/>
        <v>0</v>
      </c>
      <c r="Q286">
        <f t="shared" si="80"/>
        <v>0</v>
      </c>
    </row>
    <row r="287" spans="1:17" x14ac:dyDescent="0.45">
      <c r="A287">
        <v>1.4</v>
      </c>
      <c r="B287">
        <f t="shared" si="73"/>
        <v>2.942709584899926E-2</v>
      </c>
      <c r="C287">
        <f t="shared" si="74"/>
        <v>0.13057290415100076</v>
      </c>
      <c r="D287">
        <f t="shared" si="75"/>
        <v>8.0152774440266861E-2</v>
      </c>
      <c r="E287">
        <f t="shared" si="66"/>
        <v>7.984882365857289E-2</v>
      </c>
      <c r="P287">
        <f t="shared" si="79"/>
        <v>0</v>
      </c>
      <c r="Q287">
        <f t="shared" si="80"/>
        <v>0</v>
      </c>
    </row>
    <row r="288" spans="1:17" x14ac:dyDescent="0.45">
      <c r="A288">
        <v>1.405</v>
      </c>
      <c r="B288">
        <f t="shared" si="73"/>
        <v>2.9441240902886801E-2</v>
      </c>
      <c r="C288">
        <f t="shared" si="74"/>
        <v>0.1305587590971132</v>
      </c>
      <c r="D288">
        <f t="shared" si="75"/>
        <v>8.0149002425896856E-2</v>
      </c>
      <c r="E288">
        <f t="shared" si="66"/>
        <v>7.9841393115203954E-2</v>
      </c>
      <c r="P288">
        <f t="shared" si="79"/>
        <v>0</v>
      </c>
      <c r="Q288">
        <f t="shared" si="80"/>
        <v>0</v>
      </c>
    </row>
    <row r="289" spans="1:17" x14ac:dyDescent="0.45">
      <c r="A289">
        <v>1.41</v>
      </c>
      <c r="B289">
        <f t="shared" si="73"/>
        <v>2.9455036714149507E-2</v>
      </c>
      <c r="C289">
        <f t="shared" si="74"/>
        <v>0.1305449632858505</v>
      </c>
      <c r="D289">
        <f t="shared" si="75"/>
        <v>8.0145323542893471E-2</v>
      </c>
      <c r="E289">
        <f t="shared" si="66"/>
        <v>7.9834534327993811E-2</v>
      </c>
      <c r="P289">
        <f t="shared" si="79"/>
        <v>0</v>
      </c>
      <c r="Q289">
        <f t="shared" si="80"/>
        <v>0</v>
      </c>
    </row>
    <row r="290" spans="1:17" x14ac:dyDescent="0.45">
      <c r="A290">
        <v>1.415</v>
      </c>
      <c r="B290">
        <f t="shared" si="73"/>
        <v>2.9468491905618482E-2</v>
      </c>
      <c r="C290">
        <f t="shared" si="74"/>
        <v>0.13053150809438152</v>
      </c>
      <c r="D290">
        <f t="shared" si="75"/>
        <v>8.0141735491835078E-2</v>
      </c>
      <c r="E290">
        <f t="shared" si="66"/>
        <v>7.9828228465802842E-2</v>
      </c>
      <c r="P290">
        <f t="shared" si="79"/>
        <v>0</v>
      </c>
      <c r="Q290">
        <f t="shared" si="80"/>
        <v>0</v>
      </c>
    </row>
    <row r="291" spans="1:17" x14ac:dyDescent="0.45">
      <c r="A291">
        <v>1.42</v>
      </c>
      <c r="B291">
        <f t="shared" si="73"/>
        <v>2.9481614887226407E-2</v>
      </c>
      <c r="C291">
        <f t="shared" si="74"/>
        <v>0.13051838511277358</v>
      </c>
      <c r="D291">
        <f t="shared" si="75"/>
        <v>8.013823603007296E-2</v>
      </c>
      <c r="E291">
        <f t="shared" si="66"/>
        <v>7.9822456886024726E-2</v>
      </c>
      <c r="P291">
        <f t="shared" si="79"/>
        <v>0</v>
      </c>
      <c r="Q291">
        <f t="shared" si="80"/>
        <v>0</v>
      </c>
    </row>
    <row r="292" spans="1:17" x14ac:dyDescent="0.45">
      <c r="A292">
        <v>1.425</v>
      </c>
      <c r="B292">
        <f t="shared" si="73"/>
        <v>2.9494413861263988E-2</v>
      </c>
      <c r="C292">
        <f t="shared" si="74"/>
        <v>0.13050558613873603</v>
      </c>
      <c r="D292">
        <f t="shared" si="75"/>
        <v>8.0134822970329603E-2</v>
      </c>
      <c r="E292">
        <f t="shared" si="66"/>
        <v>7.9817201150000266E-2</v>
      </c>
      <c r="P292">
        <f t="shared" si="79"/>
        <v>0</v>
      </c>
      <c r="Q292">
        <f t="shared" si="80"/>
        <v>0</v>
      </c>
    </row>
    <row r="293" spans="1:17" x14ac:dyDescent="0.45">
      <c r="A293">
        <v>1.43</v>
      </c>
      <c r="B293">
        <f t="shared" si="73"/>
        <v>2.9506896827506637E-2</v>
      </c>
      <c r="C293">
        <f t="shared" si="74"/>
        <v>0.13049310317249335</v>
      </c>
      <c r="D293">
        <f t="shared" si="75"/>
        <v>8.0131494179331561E-2</v>
      </c>
      <c r="E293">
        <f t="shared" si="66"/>
        <v>7.9812443037410155E-2</v>
      </c>
      <c r="P293">
        <f t="shared" si="79"/>
        <v>0</v>
      </c>
      <c r="Q293">
        <f t="shared" si="80"/>
        <v>0</v>
      </c>
    </row>
    <row r="294" spans="1:17" x14ac:dyDescent="0.45">
      <c r="A294">
        <v>1.4350000000000001</v>
      </c>
      <c r="B294">
        <f t="shared" si="73"/>
        <v>2.951907158821461E-2</v>
      </c>
      <c r="C294">
        <f t="shared" si="74"/>
        <v>0.13048092841178538</v>
      </c>
      <c r="D294">
        <f t="shared" si="75"/>
        <v>8.0128247576476103E-2</v>
      </c>
      <c r="E294">
        <f t="shared" si="66"/>
        <v>7.9808164559677541E-2</v>
      </c>
      <c r="P294">
        <f t="shared" si="79"/>
        <v>0</v>
      </c>
      <c r="Q294">
        <f t="shared" si="80"/>
        <v>0</v>
      </c>
    </row>
    <row r="295" spans="1:17" x14ac:dyDescent="0.45">
      <c r="A295">
        <v>1.44</v>
      </c>
      <c r="B295">
        <f t="shared" si="73"/>
        <v>2.9530945753009671E-2</v>
      </c>
      <c r="C295">
        <f t="shared" si="74"/>
        <v>0.13046905424699035</v>
      </c>
      <c r="D295">
        <f t="shared" si="75"/>
        <v>8.0125081132530751E-2</v>
      </c>
      <c r="E295">
        <f t="shared" si="66"/>
        <v>7.9804347972411205E-2</v>
      </c>
      <c r="P295">
        <f t="shared" si="79"/>
        <v>0</v>
      </c>
      <c r="Q295">
        <f t="shared" si="80"/>
        <v>0</v>
      </c>
    </row>
    <row r="296" spans="1:17" x14ac:dyDescent="0.45">
      <c r="A296">
        <v>1.4450000000000001</v>
      </c>
      <c r="B296">
        <f t="shared" si="73"/>
        <v>2.9542526743631337E-2</v>
      </c>
      <c r="C296">
        <f t="shared" si="74"/>
        <v>0.13045747325636867</v>
      </c>
      <c r="D296">
        <f t="shared" si="75"/>
        <v>8.012199286836498E-2</v>
      </c>
      <c r="E296">
        <f t="shared" si="66"/>
        <v>7.9800975786919318E-2</v>
      </c>
      <c r="P296">
        <f t="shared" si="79"/>
        <v>0</v>
      </c>
      <c r="Q296">
        <f t="shared" si="80"/>
        <v>0</v>
      </c>
    </row>
    <row r="297" spans="1:17" x14ac:dyDescent="0.45">
      <c r="A297">
        <v>1.45</v>
      </c>
      <c r="B297">
        <f t="shared" si="73"/>
        <v>2.9553821798575769E-2</v>
      </c>
      <c r="C297">
        <f t="shared" si="74"/>
        <v>0.13044617820142423</v>
      </c>
      <c r="D297">
        <f t="shared" si="75"/>
        <v>8.0118980853713134E-2</v>
      </c>
      <c r="E297">
        <f t="shared" si="66"/>
        <v>7.9798030780824383E-2</v>
      </c>
      <c r="P297">
        <f t="shared" si="79"/>
        <v>0</v>
      </c>
      <c r="Q297">
        <f t="shared" si="80"/>
        <v>0</v>
      </c>
    </row>
    <row r="298" spans="1:17" x14ac:dyDescent="0.45">
      <c r="A298">
        <v>1.4550000000000001</v>
      </c>
      <c r="B298">
        <f t="shared" si="73"/>
        <v>2.9564837977619968E-2</v>
      </c>
      <c r="C298">
        <f t="shared" si="74"/>
        <v>0.13043516202238004</v>
      </c>
      <c r="D298">
        <f t="shared" si="75"/>
        <v>8.0116043205968004E-2</v>
      </c>
      <c r="E298">
        <f t="shared" si="66"/>
        <v>7.9795496007808719E-2</v>
      </c>
      <c r="P298">
        <f t="shared" si="79"/>
        <v>0</v>
      </c>
      <c r="Q298">
        <f t="shared" si="80"/>
        <v>0</v>
      </c>
    </row>
    <row r="299" spans="1:17" x14ac:dyDescent="0.45">
      <c r="A299">
        <v>1.46</v>
      </c>
      <c r="B299">
        <f t="shared" si="73"/>
        <v>2.957558216623446E-2</v>
      </c>
      <c r="C299">
        <f t="shared" si="74"/>
        <v>0.13042441783376554</v>
      </c>
      <c r="D299">
        <f t="shared" si="75"/>
        <v>8.0113178089004144E-2</v>
      </c>
      <c r="E299">
        <f t="shared" si="66"/>
        <v>7.9793354806520389E-2</v>
      </c>
      <c r="P299">
        <f t="shared" si="79"/>
        <v>0</v>
      </c>
      <c r="Q299">
        <f t="shared" si="80"/>
        <v>0</v>
      </c>
    </row>
    <row r="300" spans="1:17" x14ac:dyDescent="0.45">
      <c r="A300">
        <v>1.4650000000000001</v>
      </c>
      <c r="B300">
        <f t="shared" si="73"/>
        <v>2.9586061079886886E-2</v>
      </c>
      <c r="C300">
        <f t="shared" si="74"/>
        <v>0.1304139389201131</v>
      </c>
      <c r="D300">
        <f t="shared" si="75"/>
        <v>8.0110383712030164E-2</v>
      </c>
      <c r="E300">
        <f t="shared" si="66"/>
        <v>7.9791590808668586E-2</v>
      </c>
      <c r="P300">
        <f t="shared" si="79"/>
        <v>0</v>
      </c>
      <c r="Q300">
        <f t="shared" si="80"/>
        <v>0</v>
      </c>
    </row>
    <row r="301" spans="1:17" x14ac:dyDescent="0.45">
      <c r="A301">
        <v>1.47</v>
      </c>
      <c r="B301">
        <f t="shared" si="73"/>
        <v>2.9596281268239377E-2</v>
      </c>
      <c r="C301">
        <f t="shared" si="74"/>
        <v>0.13040371873176063</v>
      </c>
      <c r="D301">
        <f t="shared" si="75"/>
        <v>8.01076583284695E-2</v>
      </c>
      <c r="E301">
        <f t="shared" si="66"/>
        <v>7.9790187946337326E-2</v>
      </c>
      <c r="P301">
        <f t="shared" si="79"/>
        <v>0</v>
      </c>
      <c r="Q301">
        <f t="shared" si="80"/>
        <v>0</v>
      </c>
    </row>
    <row r="302" spans="1:17" x14ac:dyDescent="0.45">
      <c r="A302">
        <v>1.4750000000000001</v>
      </c>
      <c r="B302">
        <f t="shared" si="73"/>
        <v>2.9606249119242353E-2</v>
      </c>
      <c r="C302">
        <f t="shared" si="74"/>
        <v>0.13039375088075766</v>
      </c>
      <c r="D302">
        <f t="shared" si="75"/>
        <v>8.0105000234868703E-2</v>
      </c>
      <c r="E302">
        <f t="shared" si="66"/>
        <v>7.9789130458545951E-2</v>
      </c>
      <c r="P302">
        <f t="shared" si="79"/>
        <v>0</v>
      </c>
      <c r="Q302">
        <f t="shared" si="80"/>
        <v>0</v>
      </c>
    </row>
    <row r="303" spans="1:17" x14ac:dyDescent="0.45">
      <c r="A303">
        <v>1.48</v>
      </c>
      <c r="B303">
        <f t="shared" si="73"/>
        <v>2.9615970863127172E-2</v>
      </c>
      <c r="C303">
        <f t="shared" si="74"/>
        <v>0.13038402913687283</v>
      </c>
      <c r="D303">
        <f t="shared" si="75"/>
        <v>8.0102407769832754E-2</v>
      </c>
      <c r="E303">
        <f t="shared" si="66"/>
        <v>7.9788402897084595E-2</v>
      </c>
      <c r="P303">
        <f t="shared" si="79"/>
        <v>0</v>
      </c>
      <c r="Q303">
        <f t="shared" si="80"/>
        <v>0</v>
      </c>
    </row>
    <row r="304" spans="1:17" x14ac:dyDescent="0.45">
      <c r="A304">
        <v>1.4850000000000001</v>
      </c>
      <c r="B304">
        <f t="shared" si="73"/>
        <v>2.9625452576300254E-2</v>
      </c>
      <c r="C304">
        <f t="shared" si="74"/>
        <v>0.13037454742369975</v>
      </c>
      <c r="D304">
        <f t="shared" si="75"/>
        <v>8.0099879312986608E-2</v>
      </c>
      <c r="E304">
        <f t="shared" si="66"/>
        <v>7.9787990131652053E-2</v>
      </c>
      <c r="P304">
        <f t="shared" si="79"/>
        <v>0</v>
      </c>
      <c r="Q304">
        <f t="shared" si="80"/>
        <v>0</v>
      </c>
    </row>
    <row r="305" spans="1:17" x14ac:dyDescent="0.45">
      <c r="A305">
        <v>1.49</v>
      </c>
      <c r="B305">
        <f t="shared" si="73"/>
        <v>2.9634700185140958E-2</v>
      </c>
      <c r="C305">
        <f t="shared" si="74"/>
        <v>0.13036529981485906</v>
      </c>
      <c r="D305">
        <f t="shared" si="75"/>
        <v>8.0097413283962415E-2</v>
      </c>
      <c r="E305">
        <f t="shared" si="66"/>
        <v>7.9787877354323494E-2</v>
      </c>
      <c r="P305">
        <f t="shared" si="79"/>
        <v>0</v>
      </c>
      <c r="Q305">
        <f t="shared" si="80"/>
        <v>0</v>
      </c>
    </row>
    <row r="306" spans="1:17" x14ac:dyDescent="0.45">
      <c r="A306">
        <v>1.4950000000000001</v>
      </c>
      <c r="B306">
        <f t="shared" si="73"/>
        <v>2.964371946970587E-2</v>
      </c>
      <c r="C306">
        <f t="shared" si="74"/>
        <v>0.13035628053029413</v>
      </c>
      <c r="D306">
        <f t="shared" si="75"/>
        <v>8.0095008141411767E-2</v>
      </c>
      <c r="E306">
        <f t="shared" si="66"/>
        <v>7.978805008337482E-2</v>
      </c>
      <c r="P306">
        <f t="shared" si="79"/>
        <v>0</v>
      </c>
      <c r="Q306">
        <f t="shared" si="80"/>
        <v>0</v>
      </c>
    </row>
    <row r="307" spans="1:17" x14ac:dyDescent="0.45">
      <c r="A307">
        <v>1.5</v>
      </c>
      <c r="B307">
        <f t="shared" si="73"/>
        <v>2.9652516067341414E-2</v>
      </c>
      <c r="C307">
        <f t="shared" si="74"/>
        <v>0.1303474839326586</v>
      </c>
      <c r="D307">
        <f t="shared" si="75"/>
        <v>8.0092662382042296E-2</v>
      </c>
      <c r="E307">
        <f t="shared" si="66"/>
        <v>7.9788494166489726E-2</v>
      </c>
      <c r="P307">
        <f t="shared" si="79"/>
        <v>0</v>
      </c>
      <c r="Q307">
        <f t="shared" si="80"/>
        <v>0</v>
      </c>
    </row>
    <row r="308" spans="1:17" x14ac:dyDescent="0.45">
      <c r="A308">
        <v>1.5049999999999999</v>
      </c>
      <c r="B308">
        <f t="shared" si="73"/>
        <v>2.9661095476207502E-2</v>
      </c>
      <c r="C308">
        <f t="shared" si="74"/>
        <v>0.13033890452379249</v>
      </c>
      <c r="D308">
        <f t="shared" si="75"/>
        <v>8.0090374539678003E-2</v>
      </c>
      <c r="E308">
        <f t="shared" si="66"/>
        <v>7.9789195783375719E-2</v>
      </c>
      <c r="P308">
        <f t="shared" si="79"/>
        <v>0</v>
      </c>
      <c r="Q308">
        <f t="shared" si="80"/>
        <v>0</v>
      </c>
    </row>
    <row r="309" spans="1:17" x14ac:dyDescent="0.45">
      <c r="A309">
        <v>1.51</v>
      </c>
      <c r="B309">
        <f t="shared" si="73"/>
        <v>2.966946305871393E-2</v>
      </c>
      <c r="C309">
        <f t="shared" si="74"/>
        <v>0.13033053694128607</v>
      </c>
      <c r="D309">
        <f t="shared" si="75"/>
        <v>8.0088143184342958E-2</v>
      </c>
      <c r="E309">
        <f t="shared" si="66"/>
        <v>7.9790141447814156E-2</v>
      </c>
      <c r="P309">
        <f t="shared" si="79"/>
        <v>0</v>
      </c>
      <c r="Q309">
        <f t="shared" si="80"/>
        <v>0</v>
      </c>
    </row>
    <row r="310" spans="1:17" x14ac:dyDescent="0.45">
      <c r="A310">
        <v>1.5149999999999999</v>
      </c>
      <c r="B310">
        <f t="shared" si="73"/>
        <v>2.9677624044872175E-2</v>
      </c>
      <c r="C310">
        <f t="shared" si="74"/>
        <v>0.13032237595512783</v>
      </c>
      <c r="D310">
        <f t="shared" si="75"/>
        <v>8.0085966921367421E-2</v>
      </c>
      <c r="E310">
        <f t="shared" si="66"/>
        <v>7.9791318009169346E-2</v>
      </c>
      <c r="P310">
        <f t="shared" si="79"/>
        <v>0</v>
      </c>
      <c r="Q310">
        <f t="shared" si="80"/>
        <v>0</v>
      </c>
    </row>
    <row r="311" spans="1:17" x14ac:dyDescent="0.45">
      <c r="A311">
        <v>1.52</v>
      </c>
      <c r="B311">
        <f t="shared" si="73"/>
        <v>2.9685583535564233E-2</v>
      </c>
      <c r="C311">
        <f t="shared" si="74"/>
        <v>0.13031441646443576</v>
      </c>
      <c r="D311">
        <f t="shared" si="75"/>
        <v>8.0083844390516204E-2</v>
      </c>
      <c r="E311">
        <f t="shared" si="66"/>
        <v>7.9792712653381101E-2</v>
      </c>
      <c r="P311">
        <f t="shared" si="79"/>
        <v>0</v>
      </c>
      <c r="Q311">
        <f t="shared" si="80"/>
        <v>0</v>
      </c>
    </row>
    <row r="312" spans="1:17" x14ac:dyDescent="0.45">
      <c r="A312">
        <v>1.5249999999999999</v>
      </c>
      <c r="B312">
        <f t="shared" si="73"/>
        <v>2.9693346505730883E-2</v>
      </c>
      <c r="C312">
        <f t="shared" si="74"/>
        <v>0.13030665349426912</v>
      </c>
      <c r="D312">
        <f t="shared" si="75"/>
        <v>8.0081774265138433E-2</v>
      </c>
      <c r="E312">
        <f t="shared" si="66"/>
        <v>7.9794312903464532E-2</v>
      </c>
      <c r="P312">
        <f t="shared" si="79"/>
        <v>0</v>
      </c>
      <c r="Q312">
        <f t="shared" si="80"/>
        <v>0</v>
      </c>
    </row>
    <row r="313" spans="1:17" x14ac:dyDescent="0.45">
      <c r="A313">
        <v>1.53</v>
      </c>
      <c r="B313">
        <f t="shared" si="73"/>
        <v>2.9700917807481214E-2</v>
      </c>
      <c r="C313">
        <f t="shared" si="74"/>
        <v>0.13029908219251879</v>
      </c>
      <c r="D313">
        <f t="shared" si="75"/>
        <v>8.0079755251338341E-2</v>
      </c>
      <c r="E313">
        <f t="shared" si="66"/>
        <v>7.9796106619540619E-2</v>
      </c>
      <c r="P313">
        <f t="shared" si="79"/>
        <v>0</v>
      </c>
      <c r="Q313">
        <f t="shared" si="80"/>
        <v>0</v>
      </c>
    </row>
    <row r="314" spans="1:17" x14ac:dyDescent="0.45">
      <c r="A314">
        <v>1.5349999999999999</v>
      </c>
      <c r="B314">
        <f t="shared" si="73"/>
        <v>2.9708302173125256E-2</v>
      </c>
      <c r="C314">
        <f t="shared" si="74"/>
        <v>0.13029169782687475</v>
      </c>
      <c r="D314">
        <f t="shared" si="75"/>
        <v>8.0077786087166605E-2</v>
      </c>
      <c r="E314">
        <f t="shared" si="66"/>
        <v>7.9798081998420214E-2</v>
      </c>
      <c r="P314">
        <f t="shared" si="79"/>
        <v>0</v>
      </c>
      <c r="Q314">
        <f t="shared" si="80"/>
        <v>0</v>
      </c>
    </row>
    <row r="315" spans="1:17" x14ac:dyDescent="0.45">
      <c r="A315">
        <v>1.54</v>
      </c>
      <c r="B315">
        <f t="shared" si="73"/>
        <v>2.9715504218131947E-2</v>
      </c>
      <c r="C315">
        <f t="shared" si="74"/>
        <v>0.13028449578186807</v>
      </c>
      <c r="D315">
        <f t="shared" si="75"/>
        <v>8.0075865541831479E-2</v>
      </c>
      <c r="E315">
        <f t="shared" si="66"/>
        <v>7.9800227572763935E-2</v>
      </c>
      <c r="P315">
        <f t="shared" si="79"/>
        <v>0</v>
      </c>
      <c r="Q315">
        <f t="shared" si="80"/>
        <v>0</v>
      </c>
    </row>
    <row r="316" spans="1:17" x14ac:dyDescent="0.45">
      <c r="A316">
        <v>1.5449999999999999</v>
      </c>
      <c r="B316">
        <f t="shared" si="73"/>
        <v>2.9722528444013824E-2</v>
      </c>
      <c r="C316">
        <f t="shared" si="74"/>
        <v>0.13027747155598618</v>
      </c>
      <c r="D316">
        <f t="shared" si="75"/>
        <v>8.0073992414929643E-2</v>
      </c>
      <c r="E316">
        <f t="shared" si="66"/>
        <v>7.9802532209839711E-2</v>
      </c>
      <c r="P316">
        <f t="shared" si="79"/>
        <v>0</v>
      </c>
      <c r="Q316">
        <f t="shared" si="80"/>
        <v>0</v>
      </c>
    </row>
    <row r="317" spans="1:17" x14ac:dyDescent="0.45">
      <c r="A317">
        <v>1.5499999999999901</v>
      </c>
      <c r="B317">
        <f t="shared" si="73"/>
        <v>2.972937924114076E-2</v>
      </c>
      <c r="C317">
        <f t="shared" si="74"/>
        <v>0.13027062075885926</v>
      </c>
      <c r="D317">
        <f t="shared" si="75"/>
        <v>8.0072165535695794E-2</v>
      </c>
      <c r="E317">
        <f t="shared" si="66"/>
        <v>7.9804985109899182E-2</v>
      </c>
      <c r="P317">
        <f t="shared" si="79"/>
        <v>0</v>
      </c>
      <c r="Q317">
        <f t="shared" si="80"/>
        <v>0</v>
      </c>
    </row>
    <row r="318" spans="1:17" x14ac:dyDescent="0.45">
      <c r="A318">
        <v>1.5549999999999999</v>
      </c>
      <c r="B318">
        <f t="shared" si="73"/>
        <v>2.9736060891483965E-2</v>
      </c>
      <c r="C318">
        <f t="shared" si="74"/>
        <v>0.13026393910851602</v>
      </c>
      <c r="D318">
        <f t="shared" si="75"/>
        <v>8.007038376227095E-2</v>
      </c>
      <c r="E318">
        <f t="shared" si="66"/>
        <v>7.9807575804193842E-2</v>
      </c>
      <c r="P318">
        <f t="shared" si="79"/>
        <v>0</v>
      </c>
      <c r="Q318">
        <f t="shared" si="80"/>
        <v>0</v>
      </c>
    </row>
    <row r="319" spans="1:17" x14ac:dyDescent="0.45">
      <c r="A319">
        <v>1.56</v>
      </c>
      <c r="B319">
        <f t="shared" si="73"/>
        <v>2.9742577571292367E-2</v>
      </c>
      <c r="C319">
        <f t="shared" si="74"/>
        <v>0.13025742242870764</v>
      </c>
      <c r="D319">
        <f t="shared" si="75"/>
        <v>8.0068645980988701E-2</v>
      </c>
      <c r="E319">
        <f t="shared" si="66"/>
        <v>7.9810294152650896E-2</v>
      </c>
      <c r="P319">
        <f t="shared" si="79"/>
        <v>0</v>
      </c>
      <c r="Q319">
        <f t="shared" si="80"/>
        <v>0</v>
      </c>
    </row>
    <row r="320" spans="1:17" x14ac:dyDescent="0.45">
      <c r="A320">
        <v>1.5649999999999999</v>
      </c>
      <c r="B320">
        <f t="shared" si="73"/>
        <v>2.9748933353703058E-2</v>
      </c>
      <c r="C320">
        <f t="shared" si="74"/>
        <v>0.13025106664629693</v>
      </c>
      <c r="D320">
        <f t="shared" si="75"/>
        <v>8.0066951105679185E-2</v>
      </c>
      <c r="E320">
        <f t="shared" si="66"/>
        <v>7.9813130341228652E-2</v>
      </c>
      <c r="P320">
        <f t="shared" si="79"/>
        <v>0</v>
      </c>
      <c r="Q320">
        <f t="shared" si="80"/>
        <v>0</v>
      </c>
    </row>
    <row r="321" spans="1:17" x14ac:dyDescent="0.45">
      <c r="A321">
        <v>1.5699999999999901</v>
      </c>
      <c r="B321">
        <f t="shared" si="73"/>
        <v>2.975513221128688E-2</v>
      </c>
      <c r="C321">
        <f t="shared" si="74"/>
        <v>0.13024486778871314</v>
      </c>
      <c r="D321">
        <f t="shared" si="75"/>
        <v>8.0065298076990171E-2</v>
      </c>
      <c r="E321">
        <f t="shared" si="66"/>
        <v>7.981607487897055E-2</v>
      </c>
      <c r="P321">
        <f t="shared" si="79"/>
        <v>0</v>
      </c>
      <c r="Q321">
        <f t="shared" si="80"/>
        <v>0</v>
      </c>
    </row>
    <row r="322" spans="1:17" x14ac:dyDescent="0.45">
      <c r="A322">
        <v>1.57499999999999</v>
      </c>
      <c r="B322">
        <f t="shared" si="73"/>
        <v>2.9761178018531634E-2</v>
      </c>
      <c r="C322">
        <f t="shared" si="74"/>
        <v>0.13023882198146836</v>
      </c>
      <c r="D322">
        <f t="shared" si="75"/>
        <v>8.0063685861724895E-2</v>
      </c>
      <c r="E322">
        <f t="shared" si="66"/>
        <v>7.9819118594776403E-2</v>
      </c>
      <c r="P322">
        <f t="shared" si="79"/>
        <v>0</v>
      </c>
      <c r="Q322">
        <f t="shared" si="80"/>
        <v>0</v>
      </c>
    </row>
    <row r="323" spans="1:17" x14ac:dyDescent="0.45">
      <c r="A323">
        <v>1.5799999999999901</v>
      </c>
      <c r="B323">
        <f t="shared" si="73"/>
        <v>2.9767074554263639E-2</v>
      </c>
      <c r="C323">
        <f t="shared" si="74"/>
        <v>0.13023292544573636</v>
      </c>
      <c r="D323">
        <f t="shared" si="75"/>
        <v>8.0062113452196368E-2</v>
      </c>
      <c r="E323">
        <f t="shared" si="66"/>
        <v>7.9822252633908769E-2</v>
      </c>
      <c r="P323">
        <f t="shared" si="79"/>
        <v>0</v>
      </c>
      <c r="Q323">
        <f t="shared" si="80"/>
        <v>0</v>
      </c>
    </row>
    <row r="324" spans="1:17" x14ac:dyDescent="0.45">
      <c r="A324">
        <v>1.58499999999999</v>
      </c>
      <c r="B324">
        <f t="shared" si="73"/>
        <v>2.9772825504009712E-2</v>
      </c>
      <c r="C324">
        <f t="shared" si="74"/>
        <v>0.13022717449599031</v>
      </c>
      <c r="D324">
        <f t="shared" si="75"/>
        <v>8.0060579865597406E-2</v>
      </c>
      <c r="E324">
        <f t="shared" si="66"/>
        <v>7.9825468454252271E-2</v>
      </c>
      <c r="P324">
        <f t="shared" si="79"/>
        <v>0</v>
      </c>
      <c r="Q324">
        <f t="shared" si="80"/>
        <v>0</v>
      </c>
    </row>
    <row r="325" spans="1:17" x14ac:dyDescent="0.45">
      <c r="A325">
        <v>1.5899999999999901</v>
      </c>
      <c r="B325">
        <f t="shared" si="73"/>
        <v>2.9778434462300635E-2</v>
      </c>
      <c r="C325">
        <f t="shared" si="74"/>
        <v>0.13022156553769937</v>
      </c>
      <c r="D325">
        <f t="shared" si="75"/>
        <v>8.00590841433865E-2</v>
      </c>
      <c r="E325">
        <f t="shared" si="66"/>
        <v>7.9828757822342541E-2</v>
      </c>
      <c r="P325">
        <f t="shared" si="79"/>
        <v>0</v>
      </c>
      <c r="Q325">
        <f t="shared" si="80"/>
        <v>0</v>
      </c>
    </row>
    <row r="326" spans="1:17" x14ac:dyDescent="0.45">
      <c r="A326">
        <v>1.59499999999999</v>
      </c>
      <c r="B326">
        <f t="shared" si="73"/>
        <v>2.9783904934917921E-2</v>
      </c>
      <c r="C326">
        <f t="shared" si="74"/>
        <v>0.13021609506508208</v>
      </c>
      <c r="D326">
        <f t="shared" si="75"/>
        <v>8.0057625350688555E-2</v>
      </c>
      <c r="E326">
        <f t="shared" si="66"/>
        <v>7.983211280918151E-2</v>
      </c>
      <c r="P326">
        <f t="shared" si="79"/>
        <v>0</v>
      </c>
      <c r="Q326">
        <f t="shared" si="80"/>
        <v>0</v>
      </c>
    </row>
    <row r="327" spans="1:17" x14ac:dyDescent="0.45">
      <c r="A327">
        <v>1.5999999999999901</v>
      </c>
      <c r="B327">
        <f t="shared" si="73"/>
        <v>2.9789240341085044E-2</v>
      </c>
      <c r="C327">
        <f t="shared" si="74"/>
        <v>0.13021075965891496</v>
      </c>
      <c r="D327">
        <f t="shared" si="75"/>
        <v>8.0056202575710653E-2</v>
      </c>
      <c r="E327">
        <f t="shared" ref="E327:E390" si="82">P0-SIGN(DeltaThetaDeg)*EXP(-Xi*Wn*A327)*(COS(Wd*A327)-(Xi*Wn-1)/(Wd)*SIN(Wd*A327))*Ppeak</f>
        <v>7.9835525785854844E-2</v>
      </c>
      <c r="P327">
        <f t="shared" si="79"/>
        <v>0</v>
      </c>
      <c r="Q327">
        <f t="shared" si="80"/>
        <v>0</v>
      </c>
    </row>
    <row r="328" spans="1:17" x14ac:dyDescent="0.45">
      <c r="A328">
        <v>1.60499999999999</v>
      </c>
      <c r="B328">
        <f t="shared" si="73"/>
        <v>2.9794444015604521E-2</v>
      </c>
      <c r="C328">
        <f t="shared" si="74"/>
        <v>0.13020555598439548</v>
      </c>
      <c r="D328">
        <f t="shared" si="75"/>
        <v>8.005481492917213E-2</v>
      </c>
      <c r="E328">
        <f t="shared" si="82"/>
        <v>7.9838989418966999E-2</v>
      </c>
      <c r="P328">
        <f t="shared" si="79"/>
        <v>0</v>
      </c>
      <c r="Q328">
        <f t="shared" si="80"/>
        <v>0</v>
      </c>
    </row>
    <row r="329" spans="1:17" x14ac:dyDescent="0.45">
      <c r="A329">
        <v>1.6099999999999901</v>
      </c>
      <c r="B329">
        <f t="shared" ref="B329:B392" si="83">P0-Ppeak*(1+Marge_haute)*EXP(-Sigma*A327)-Tunnel</f>
        <v>2.9799519210942357E-2</v>
      </c>
      <c r="C329">
        <f t="shared" ref="C329:C392" si="84">P0+Ppeak*(1+Marge_haute)*EXP(-Sigma*A327)+Tunnel</f>
        <v>0.13020048078905766</v>
      </c>
      <c r="D329">
        <f t="shared" ref="D329:D392" si="85">P0-SIGN(DeltaThetaDeg)*Marge_basse*Ppeak*EXP(-Sigma*A327)</f>
        <v>8.0053461543748705E-2</v>
      </c>
      <c r="E329">
        <f t="shared" si="82"/>
        <v>7.9842496665908841E-2</v>
      </c>
      <c r="P329">
        <f t="shared" si="79"/>
        <v>0</v>
      </c>
      <c r="Q329">
        <f t="shared" si="80"/>
        <v>0</v>
      </c>
    </row>
    <row r="330" spans="1:17" x14ac:dyDescent="0.45">
      <c r="A330">
        <v>1.61499999999999</v>
      </c>
      <c r="B330">
        <f t="shared" si="83"/>
        <v>2.9804469099260822E-2</v>
      </c>
      <c r="C330">
        <f t="shared" si="84"/>
        <v>0.13019553090073918</v>
      </c>
      <c r="D330">
        <f t="shared" si="85"/>
        <v>8.0052141573530453E-2</v>
      </c>
      <c r="E330">
        <f t="shared" si="82"/>
        <v>7.9846040769972176E-2</v>
      </c>
      <c r="P330">
        <f t="shared" si="79"/>
        <v>0</v>
      </c>
      <c r="Q330">
        <f t="shared" si="80"/>
        <v>0</v>
      </c>
    </row>
    <row r="331" spans="1:17" x14ac:dyDescent="0.45">
      <c r="A331">
        <v>1.6199999999999899</v>
      </c>
      <c r="B331">
        <f t="shared" si="83"/>
        <v>2.980929677440125E-2</v>
      </c>
      <c r="C331">
        <f t="shared" si="84"/>
        <v>0.13019070322559875</v>
      </c>
      <c r="D331">
        <f t="shared" si="85"/>
        <v>8.0050854193493004E-2</v>
      </c>
      <c r="E331">
        <f t="shared" si="82"/>
        <v>7.9849615255325246E-2</v>
      </c>
      <c r="P331">
        <f t="shared" ref="P331:P394" si="86">IF(EMT_simulation,N327,N331)</f>
        <v>0</v>
      </c>
      <c r="Q331">
        <f t="shared" ref="Q331:Q394" si="87">IF(EMT_simulation,O327,O331)</f>
        <v>0</v>
      </c>
    </row>
    <row r="332" spans="1:17" x14ac:dyDescent="0.45">
      <c r="A332">
        <v>1.62499999999999</v>
      </c>
      <c r="B332">
        <f t="shared" si="83"/>
        <v>2.9814005253817763E-2</v>
      </c>
      <c r="C332">
        <f t="shared" si="84"/>
        <v>0.13018599474618225</v>
      </c>
      <c r="D332">
        <f t="shared" si="85"/>
        <v>8.0049598598981933E-2</v>
      </c>
      <c r="E332">
        <f t="shared" si="82"/>
        <v>7.9853213921862398E-2</v>
      </c>
      <c r="P332">
        <f t="shared" si="86"/>
        <v>0</v>
      </c>
      <c r="Q332">
        <f t="shared" si="87"/>
        <v>0</v>
      </c>
    </row>
    <row r="333" spans="1:17" x14ac:dyDescent="0.45">
      <c r="A333">
        <v>1.6299999999999899</v>
      </c>
      <c r="B333">
        <f t="shared" si="83"/>
        <v>2.9818597480463269E-2</v>
      </c>
      <c r="C333">
        <f t="shared" si="84"/>
        <v>0.13018140251953675</v>
      </c>
      <c r="D333">
        <f t="shared" si="85"/>
        <v>8.0048374005209796E-2</v>
      </c>
      <c r="E333">
        <f t="shared" si="82"/>
        <v>7.9856830839941065E-2</v>
      </c>
      <c r="P333">
        <f t="shared" si="86"/>
        <v>0</v>
      </c>
      <c r="Q333">
        <f t="shared" si="87"/>
        <v>0</v>
      </c>
    </row>
    <row r="334" spans="1:17" x14ac:dyDescent="0.45">
      <c r="A334">
        <v>1.63499999999999</v>
      </c>
      <c r="B334">
        <f t="shared" si="83"/>
        <v>2.9823076324628911E-2</v>
      </c>
      <c r="C334">
        <f t="shared" si="84"/>
        <v>0.13017692367537109</v>
      </c>
      <c r="D334">
        <f t="shared" si="85"/>
        <v>8.0047179646765623E-2</v>
      </c>
      <c r="E334">
        <f t="shared" si="82"/>
        <v>7.9860460345018341E-2</v>
      </c>
      <c r="P334">
        <f t="shared" si="86"/>
        <v>0</v>
      </c>
      <c r="Q334">
        <f t="shared" si="87"/>
        <v>0</v>
      </c>
    </row>
    <row r="335" spans="1:17" x14ac:dyDescent="0.45">
      <c r="A335">
        <v>1.6399999999999899</v>
      </c>
      <c r="B335">
        <f t="shared" si="83"/>
        <v>2.9827444585738092E-2</v>
      </c>
      <c r="C335">
        <f t="shared" si="84"/>
        <v>0.13017255541426193</v>
      </c>
      <c r="D335">
        <f t="shared" si="85"/>
        <v>8.0046014777136507E-2</v>
      </c>
      <c r="E335">
        <f t="shared" si="82"/>
        <v>7.986409703219928E-2</v>
      </c>
      <c r="P335">
        <f t="shared" si="86"/>
        <v>0</v>
      </c>
      <c r="Q335">
        <f t="shared" si="87"/>
        <v>0</v>
      </c>
    </row>
    <row r="336" spans="1:17" x14ac:dyDescent="0.45">
      <c r="A336">
        <v>1.64499999999999</v>
      </c>
      <c r="B336">
        <f t="shared" si="83"/>
        <v>2.9831704994096209E-2</v>
      </c>
      <c r="C336">
        <f t="shared" si="84"/>
        <v>0.13016829500590379</v>
      </c>
      <c r="D336">
        <f t="shared" si="85"/>
        <v>8.0044878668241018E-2</v>
      </c>
      <c r="E336">
        <f t="shared" si="82"/>
        <v>7.9867735750708199E-2</v>
      </c>
      <c r="P336">
        <f t="shared" si="86"/>
        <v>0</v>
      </c>
      <c r="Q336">
        <f t="shared" si="87"/>
        <v>0</v>
      </c>
    </row>
    <row r="337" spans="1:17" x14ac:dyDescent="0.45">
      <c r="A337">
        <v>1.6499999999999899</v>
      </c>
      <c r="B337">
        <f t="shared" si="83"/>
        <v>2.9835860212597168E-2</v>
      </c>
      <c r="C337">
        <f t="shared" si="84"/>
        <v>0.13016413978740282</v>
      </c>
      <c r="D337">
        <f t="shared" si="85"/>
        <v>8.0043770609974085E-2</v>
      </c>
      <c r="E337">
        <f t="shared" si="82"/>
        <v>7.9871371598294355E-2</v>
      </c>
      <c r="P337">
        <f t="shared" si="86"/>
        <v>0</v>
      </c>
      <c r="Q337">
        <f t="shared" si="87"/>
        <v>0</v>
      </c>
    </row>
    <row r="338" spans="1:17" x14ac:dyDescent="0.45">
      <c r="A338">
        <v>1.65499999999999</v>
      </c>
      <c r="B338">
        <f t="shared" si="83"/>
        <v>2.9839912838387786E-2</v>
      </c>
      <c r="C338">
        <f t="shared" si="84"/>
        <v>0.1301600871616122</v>
      </c>
      <c r="D338">
        <f t="shared" si="85"/>
        <v>8.0042689909763251E-2</v>
      </c>
      <c r="E338">
        <f t="shared" si="82"/>
        <v>7.9874999915582265E-2</v>
      </c>
      <c r="P338">
        <f t="shared" si="86"/>
        <v>0</v>
      </c>
      <c r="Q338">
        <f t="shared" si="87"/>
        <v>0</v>
      </c>
    </row>
    <row r="339" spans="1:17" x14ac:dyDescent="0.45">
      <c r="A339">
        <v>1.6599999999999899</v>
      </c>
      <c r="B339">
        <f t="shared" si="83"/>
        <v>2.9843865404491132E-2</v>
      </c>
      <c r="C339">
        <f t="shared" si="84"/>
        <v>0.13015613459550887</v>
      </c>
      <c r="D339">
        <f t="shared" si="85"/>
        <v>8.0041635892135699E-2</v>
      </c>
      <c r="E339">
        <f t="shared" si="82"/>
        <v>7.9878616280377013E-2</v>
      </c>
      <c r="P339">
        <f t="shared" si="86"/>
        <v>0</v>
      </c>
      <c r="Q339">
        <f t="shared" si="87"/>
        <v>0</v>
      </c>
    </row>
    <row r="340" spans="1:17" x14ac:dyDescent="0.45">
      <c r="A340">
        <v>1.66499999999999</v>
      </c>
      <c r="B340">
        <f t="shared" si="83"/>
        <v>2.9847720381389664E-2</v>
      </c>
      <c r="C340">
        <f t="shared" si="84"/>
        <v>0.13015227961861034</v>
      </c>
      <c r="D340">
        <f t="shared" si="85"/>
        <v>8.004060789829609E-2</v>
      </c>
      <c r="E340">
        <f t="shared" si="82"/>
        <v>7.9882216501934181E-2</v>
      </c>
      <c r="P340">
        <f t="shared" si="86"/>
        <v>0</v>
      </c>
      <c r="Q340">
        <f t="shared" si="87"/>
        <v>0</v>
      </c>
    </row>
    <row r="341" spans="1:17" x14ac:dyDescent="0.45">
      <c r="A341">
        <v>1.6699999999999899</v>
      </c>
      <c r="B341">
        <f t="shared" si="83"/>
        <v>2.9851480178569451E-2</v>
      </c>
      <c r="C341">
        <f t="shared" si="84"/>
        <v>0.13014851982143055</v>
      </c>
      <c r="D341">
        <f t="shared" si="85"/>
        <v>8.0039605285714813E-2</v>
      </c>
      <c r="E341">
        <f t="shared" si="82"/>
        <v>7.9885796615203813E-2</v>
      </c>
      <c r="P341">
        <f t="shared" si="86"/>
        <v>0</v>
      </c>
      <c r="Q341">
        <f t="shared" si="87"/>
        <v>0</v>
      </c>
    </row>
    <row r="342" spans="1:17" x14ac:dyDescent="0.45">
      <c r="A342">
        <v>1.6749999999999901</v>
      </c>
      <c r="B342">
        <f t="shared" si="83"/>
        <v>2.9855147146026106E-2</v>
      </c>
      <c r="C342">
        <f t="shared" si="84"/>
        <v>0.1301448528539739</v>
      </c>
      <c r="D342">
        <f t="shared" si="85"/>
        <v>8.0038627427726369E-2</v>
      </c>
      <c r="E342">
        <f t="shared" si="82"/>
        <v>7.9889352875057038E-2</v>
      </c>
      <c r="P342">
        <f t="shared" si="86"/>
        <v>0</v>
      </c>
      <c r="Q342">
        <f t="shared" si="87"/>
        <v>0</v>
      </c>
    </row>
    <row r="343" spans="1:17" x14ac:dyDescent="0.45">
      <c r="A343">
        <v>1.6799999999999899</v>
      </c>
      <c r="B343">
        <f t="shared" si="83"/>
        <v>2.9858723575733673E-2</v>
      </c>
      <c r="C343">
        <f t="shared" si="84"/>
        <v>0.13014127642426632</v>
      </c>
      <c r="D343">
        <f t="shared" si="85"/>
        <v>8.0037673713137691E-2</v>
      </c>
      <c r="E343">
        <f t="shared" si="82"/>
        <v>7.9892881750504061E-2</v>
      </c>
      <c r="P343">
        <f t="shared" si="86"/>
        <v>0</v>
      </c>
      <c r="Q343">
        <f t="shared" si="87"/>
        <v>0</v>
      </c>
    </row>
    <row r="344" spans="1:17" x14ac:dyDescent="0.45">
      <c r="A344">
        <v>1.6849999999999901</v>
      </c>
      <c r="B344">
        <f t="shared" si="83"/>
        <v>2.9862211703077124E-2</v>
      </c>
      <c r="C344">
        <f t="shared" si="84"/>
        <v>0.13013778829692288</v>
      </c>
      <c r="D344">
        <f t="shared" si="85"/>
        <v>8.0036743545846098E-2</v>
      </c>
      <c r="E344">
        <f t="shared" si="82"/>
        <v>7.9896379918911478E-2</v>
      </c>
      <c r="P344">
        <f t="shared" si="86"/>
        <v>0</v>
      </c>
      <c r="Q344">
        <f t="shared" si="87"/>
        <v>0</v>
      </c>
    </row>
    <row r="345" spans="1:17" x14ac:dyDescent="0.45">
      <c r="A345">
        <v>1.68999999999999</v>
      </c>
      <c r="B345">
        <f t="shared" si="83"/>
        <v>2.9865613708249611E-2</v>
      </c>
      <c r="C345">
        <f t="shared" si="84"/>
        <v>0.13013438629175039</v>
      </c>
      <c r="D345">
        <f t="shared" si="85"/>
        <v>8.0035836344466774E-2</v>
      </c>
      <c r="E345">
        <f t="shared" si="82"/>
        <v>7.9899844260226505E-2</v>
      </c>
      <c r="P345">
        <f t="shared" si="86"/>
        <v>0</v>
      </c>
      <c r="Q345">
        <f t="shared" si="87"/>
        <v>0</v>
      </c>
    </row>
    <row r="346" spans="1:17" x14ac:dyDescent="0.45">
      <c r="A346">
        <v>1.6949999999999901</v>
      </c>
      <c r="B346">
        <f t="shared" si="83"/>
        <v>2.9868931717615121E-2</v>
      </c>
      <c r="C346">
        <f t="shared" si="84"/>
        <v>0.13013106828238488</v>
      </c>
      <c r="D346">
        <f t="shared" si="85"/>
        <v>8.0034951541969296E-2</v>
      </c>
      <c r="E346">
        <f t="shared" si="82"/>
        <v>7.990327185121561E-2</v>
      </c>
      <c r="P346">
        <f t="shared" si="86"/>
        <v>0</v>
      </c>
      <c r="Q346">
        <f t="shared" si="87"/>
        <v>0</v>
      </c>
    </row>
    <row r="347" spans="1:17" x14ac:dyDescent="0.45">
      <c r="A347">
        <v>1.69999999999999</v>
      </c>
      <c r="B347">
        <f t="shared" si="83"/>
        <v>2.98721678050375E-2</v>
      </c>
      <c r="C347">
        <f t="shared" si="84"/>
        <v>0.13012783219496249</v>
      </c>
      <c r="D347">
        <f t="shared" si="85"/>
        <v>8.0034088585323335E-2</v>
      </c>
      <c r="E347">
        <f t="shared" si="82"/>
        <v>7.9906659959724208E-2</v>
      </c>
      <c r="P347">
        <f t="shared" si="86"/>
        <v>0</v>
      </c>
      <c r="Q347">
        <f t="shared" si="87"/>
        <v>0</v>
      </c>
    </row>
    <row r="348" spans="1:17" x14ac:dyDescent="0.45">
      <c r="A348">
        <v>1.7049999999999901</v>
      </c>
      <c r="B348">
        <f t="shared" si="83"/>
        <v>2.9875323993176731E-2</v>
      </c>
      <c r="C348">
        <f t="shared" si="84"/>
        <v>0.13012467600682326</v>
      </c>
      <c r="D348">
        <f t="shared" si="85"/>
        <v>8.0033246935152874E-2</v>
      </c>
      <c r="E348">
        <f t="shared" si="82"/>
        <v>7.9910006038964101E-2</v>
      </c>
      <c r="P348">
        <f t="shared" si="86"/>
        <v>0</v>
      </c>
      <c r="Q348">
        <f t="shared" si="87"/>
        <v>0</v>
      </c>
    </row>
    <row r="349" spans="1:17" x14ac:dyDescent="0.45">
      <c r="A349">
        <v>1.70999999999999</v>
      </c>
      <c r="B349">
        <f t="shared" si="83"/>
        <v>2.9878402254753161E-2</v>
      </c>
      <c r="C349">
        <f t="shared" si="84"/>
        <v>0.13012159774524684</v>
      </c>
      <c r="D349">
        <f t="shared" si="85"/>
        <v>8.0032426065399162E-2</v>
      </c>
      <c r="E349">
        <f t="shared" si="82"/>
        <v>7.9913307721834942E-2</v>
      </c>
      <c r="P349">
        <f t="shared" si="86"/>
        <v>0</v>
      </c>
      <c r="Q349">
        <f t="shared" si="87"/>
        <v>0</v>
      </c>
    </row>
    <row r="350" spans="1:17" x14ac:dyDescent="0.45">
      <c r="A350">
        <v>1.7149999999999901</v>
      </c>
      <c r="B350">
        <f t="shared" si="83"/>
        <v>2.9881404513780463E-2</v>
      </c>
      <c r="C350">
        <f t="shared" si="84"/>
        <v>0.13011859548621954</v>
      </c>
      <c r="D350">
        <f t="shared" si="85"/>
        <v>8.0031625462991876E-2</v>
      </c>
      <c r="E350">
        <f t="shared" si="82"/>
        <v>7.9916562815285294E-2</v>
      </c>
      <c r="P350">
        <f t="shared" si="86"/>
        <v>0</v>
      </c>
      <c r="Q350">
        <f t="shared" si="87"/>
        <v>0</v>
      </c>
    </row>
    <row r="351" spans="1:17" x14ac:dyDescent="0.45">
      <c r="A351">
        <v>1.71999999999999</v>
      </c>
      <c r="B351">
        <f t="shared" si="83"/>
        <v>2.9884332646768264E-2</v>
      </c>
      <c r="C351">
        <f t="shared" si="84"/>
        <v>0.13011566735323174</v>
      </c>
      <c r="D351">
        <f t="shared" si="85"/>
        <v>8.0030844627528464E-2</v>
      </c>
      <c r="E351">
        <f t="shared" si="82"/>
        <v>7.9919769294719112E-2</v>
      </c>
      <c r="P351">
        <f t="shared" si="86"/>
        <v>0</v>
      </c>
      <c r="Q351">
        <f t="shared" si="87"/>
        <v>0</v>
      </c>
    </row>
    <row r="352" spans="1:17" x14ac:dyDescent="0.45">
      <c r="A352">
        <v>1.7249999999999901</v>
      </c>
      <c r="B352">
        <f t="shared" si="83"/>
        <v>2.9887188483895002E-2</v>
      </c>
      <c r="C352">
        <f t="shared" si="84"/>
        <v>0.13011281151610499</v>
      </c>
      <c r="D352">
        <f t="shared" si="85"/>
        <v>8.0030083070961336E-2</v>
      </c>
      <c r="E352">
        <f t="shared" si="82"/>
        <v>7.9922925298452505E-2</v>
      </c>
      <c r="P352">
        <f t="shared" si="86"/>
        <v>0</v>
      </c>
      <c r="Q352">
        <f t="shared" si="87"/>
        <v>0</v>
      </c>
    </row>
    <row r="353" spans="1:17" x14ac:dyDescent="0.45">
      <c r="A353">
        <v>1.72999999999999</v>
      </c>
      <c r="B353">
        <f t="shared" si="83"/>
        <v>2.9889973810151849E-2</v>
      </c>
      <c r="C353">
        <f t="shared" si="84"/>
        <v>0.13011002618984815</v>
      </c>
      <c r="D353">
        <f t="shared" si="85"/>
        <v>8.0029340317292835E-2</v>
      </c>
      <c r="E353">
        <f t="shared" si="82"/>
        <v>7.9926029122225947E-2</v>
      </c>
      <c r="P353">
        <f t="shared" si="86"/>
        <v>0</v>
      </c>
      <c r="Q353">
        <f t="shared" si="87"/>
        <v>0</v>
      </c>
    </row>
    <row r="354" spans="1:17" x14ac:dyDescent="0.45">
      <c r="A354">
        <v>1.7349999999999901</v>
      </c>
      <c r="B354">
        <f t="shared" si="83"/>
        <v>2.9892690366458391E-2</v>
      </c>
      <c r="C354">
        <f t="shared" si="84"/>
        <v>0.13010730963354161</v>
      </c>
      <c r="D354">
        <f t="shared" si="85"/>
        <v>8.0028615902277764E-2</v>
      </c>
      <c r="E354">
        <f t="shared" si="82"/>
        <v>7.9929079213776219E-2</v>
      </c>
      <c r="P354">
        <f t="shared" si="86"/>
        <v>0</v>
      </c>
      <c r="Q354">
        <f t="shared" si="87"/>
        <v>0</v>
      </c>
    </row>
    <row r="355" spans="1:17" x14ac:dyDescent="0.45">
      <c r="A355">
        <v>1.73999999999999</v>
      </c>
      <c r="B355">
        <f t="shared" si="83"/>
        <v>2.9895339850750741E-2</v>
      </c>
      <c r="C355">
        <f t="shared" si="84"/>
        <v>0.13010466014924926</v>
      </c>
      <c r="D355">
        <f t="shared" si="85"/>
        <v>8.0027909373133144E-2</v>
      </c>
      <c r="E355">
        <f t="shared" si="82"/>
        <v>7.9932074167472486E-2</v>
      </c>
      <c r="P355">
        <f t="shared" si="86"/>
        <v>0</v>
      </c>
      <c r="Q355">
        <f t="shared" si="87"/>
        <v>0</v>
      </c>
    </row>
    <row r="356" spans="1:17" x14ac:dyDescent="0.45">
      <c r="A356">
        <v>1.7449999999999899</v>
      </c>
      <c r="B356">
        <f t="shared" si="83"/>
        <v>2.9897923919042835E-2</v>
      </c>
      <c r="C356">
        <f t="shared" si="84"/>
        <v>0.13010207608095717</v>
      </c>
      <c r="D356">
        <f t="shared" si="85"/>
        <v>8.0027220288255249E-2</v>
      </c>
      <c r="E356">
        <f t="shared" si="82"/>
        <v>7.9935012719020426E-2</v>
      </c>
      <c r="P356">
        <f t="shared" si="86"/>
        <v>0</v>
      </c>
      <c r="Q356">
        <f t="shared" si="87"/>
        <v>0</v>
      </c>
    </row>
    <row r="357" spans="1:17" x14ac:dyDescent="0.45">
      <c r="A357">
        <v>1.74999999999999</v>
      </c>
      <c r="B357">
        <f t="shared" si="83"/>
        <v>2.990044418646147E-2</v>
      </c>
      <c r="C357">
        <f t="shared" si="84"/>
        <v>0.13009955581353855</v>
      </c>
      <c r="D357">
        <f t="shared" si="85"/>
        <v>8.0026548216943605E-2</v>
      </c>
      <c r="E357">
        <f t="shared" si="82"/>
        <v>7.9937893740238034E-2</v>
      </c>
      <c r="P357">
        <f t="shared" si="86"/>
        <v>0</v>
      </c>
      <c r="Q357">
        <f t="shared" si="87"/>
        <v>0</v>
      </c>
    </row>
    <row r="358" spans="1:17" x14ac:dyDescent="0.45">
      <c r="A358">
        <v>1.7549999999999899</v>
      </c>
      <c r="B358">
        <f t="shared" si="83"/>
        <v>2.9902902228255826E-2</v>
      </c>
      <c r="C358">
        <f t="shared" si="84"/>
        <v>0.13009709777174416</v>
      </c>
      <c r="D358">
        <f t="shared" si="85"/>
        <v>8.0025892739131785E-2</v>
      </c>
      <c r="E358">
        <f t="shared" si="82"/>
        <v>7.9940716233906611E-2</v>
      </c>
      <c r="P358">
        <f t="shared" si="86"/>
        <v>0</v>
      </c>
      <c r="Q358">
        <f t="shared" si="87"/>
        <v>0</v>
      </c>
    </row>
    <row r="359" spans="1:17" x14ac:dyDescent="0.45">
      <c r="A359">
        <v>1.75999999999999</v>
      </c>
      <c r="B359">
        <f t="shared" si="83"/>
        <v>2.9905299580782044E-2</v>
      </c>
      <c r="C359">
        <f t="shared" si="84"/>
        <v>0.13009470041921795</v>
      </c>
      <c r="D359">
        <f t="shared" si="85"/>
        <v>8.0025253445124789E-2</v>
      </c>
      <c r="E359">
        <f t="shared" si="82"/>
        <v>7.9943479328699898E-2</v>
      </c>
      <c r="P359">
        <f t="shared" si="86"/>
        <v>0</v>
      </c>
      <c r="Q359">
        <f t="shared" si="87"/>
        <v>0</v>
      </c>
    </row>
    <row r="360" spans="1:17" x14ac:dyDescent="0.45">
      <c r="A360">
        <v>1.7649999999999899</v>
      </c>
      <c r="B360">
        <f t="shared" si="83"/>
        <v>2.990763774246348E-2</v>
      </c>
      <c r="C360">
        <f t="shared" si="84"/>
        <v>0.13009236225753651</v>
      </c>
      <c r="D360">
        <f t="shared" si="85"/>
        <v>8.0024629935343067E-2</v>
      </c>
      <c r="E360">
        <f t="shared" si="82"/>
        <v>7.9946182274194463E-2</v>
      </c>
      <c r="P360">
        <f t="shared" si="86"/>
        <v>0</v>
      </c>
      <c r="Q360">
        <f t="shared" si="87"/>
        <v>0</v>
      </c>
    </row>
    <row r="361" spans="1:17" x14ac:dyDescent="0.45">
      <c r="A361">
        <v>1.76999999999999</v>
      </c>
      <c r="B361">
        <f t="shared" si="83"/>
        <v>2.9909918174727324E-2</v>
      </c>
      <c r="C361">
        <f t="shared" si="84"/>
        <v>0.13009008182527268</v>
      </c>
      <c r="D361">
        <f t="shared" si="85"/>
        <v>8.0024021820072719E-2</v>
      </c>
      <c r="E361">
        <f t="shared" si="82"/>
        <v>7.9948824435963711E-2</v>
      </c>
      <c r="P361">
        <f t="shared" si="86"/>
        <v>0</v>
      </c>
      <c r="Q361">
        <f t="shared" si="87"/>
        <v>0</v>
      </c>
    </row>
    <row r="362" spans="1:17" x14ac:dyDescent="0.45">
      <c r="A362">
        <v>1.7749999999999899</v>
      </c>
      <c r="B362">
        <f t="shared" si="83"/>
        <v>2.9912142302917957E-2</v>
      </c>
      <c r="C362">
        <f t="shared" si="84"/>
        <v>0.13008785769708203</v>
      </c>
      <c r="D362">
        <f t="shared" si="85"/>
        <v>8.0023428719221884E-2</v>
      </c>
      <c r="E362">
        <f t="shared" si="82"/>
        <v>7.9951405290758171E-2</v>
      </c>
      <c r="P362">
        <f t="shared" si="86"/>
        <v>0</v>
      </c>
      <c r="Q362">
        <f t="shared" si="87"/>
        <v>0</v>
      </c>
    </row>
    <row r="363" spans="1:17" x14ac:dyDescent="0.45">
      <c r="A363">
        <v>1.77999999999999</v>
      </c>
      <c r="B363">
        <f t="shared" si="83"/>
        <v>2.9914311517187903E-2</v>
      </c>
      <c r="C363">
        <f t="shared" si="84"/>
        <v>0.1300856884828121</v>
      </c>
      <c r="D363">
        <f t="shared" si="85"/>
        <v>8.0022850262083223E-2</v>
      </c>
      <c r="E363">
        <f t="shared" si="82"/>
        <v>7.9953924421773973E-2</v>
      </c>
      <c r="P363">
        <f t="shared" si="86"/>
        <v>0</v>
      </c>
      <c r="Q363">
        <f t="shared" si="87"/>
        <v>0</v>
      </c>
    </row>
    <row r="364" spans="1:17" x14ac:dyDescent="0.45">
      <c r="A364">
        <v>1.7849999999999899</v>
      </c>
      <c r="B364">
        <f t="shared" si="83"/>
        <v>2.9916427173366691E-2</v>
      </c>
      <c r="C364">
        <f t="shared" si="84"/>
        <v>0.1300835728266333</v>
      </c>
      <c r="D364">
        <f t="shared" si="85"/>
        <v>8.0022286087102212E-2</v>
      </c>
      <c r="E364">
        <f t="shared" si="82"/>
        <v>7.9956381514011632E-2</v>
      </c>
      <c r="P364">
        <f t="shared" si="86"/>
        <v>0</v>
      </c>
      <c r="Q364">
        <f t="shared" si="87"/>
        <v>0</v>
      </c>
    </row>
    <row r="365" spans="1:17" x14ac:dyDescent="0.45">
      <c r="A365">
        <v>1.78999999999999</v>
      </c>
      <c r="B365">
        <f t="shared" si="83"/>
        <v>2.99184905938083E-2</v>
      </c>
      <c r="C365">
        <f t="shared" si="84"/>
        <v>0.1300815094061917</v>
      </c>
      <c r="D365">
        <f t="shared" si="85"/>
        <v>8.002173584165112E-2</v>
      </c>
      <c r="E365">
        <f t="shared" si="82"/>
        <v>7.995877634972684E-2</v>
      </c>
      <c r="P365">
        <f t="shared" si="86"/>
        <v>0</v>
      </c>
      <c r="Q365">
        <f t="shared" si="87"/>
        <v>0</v>
      </c>
    </row>
    <row r="366" spans="1:17" x14ac:dyDescent="0.45">
      <c r="A366">
        <v>1.7949999999999899</v>
      </c>
      <c r="B366">
        <f t="shared" si="83"/>
        <v>2.9920503068217696E-2</v>
      </c>
      <c r="C366">
        <f t="shared" si="84"/>
        <v>0.13007949693178231</v>
      </c>
      <c r="D366">
        <f t="shared" si="85"/>
        <v>8.0021199181808611E-2</v>
      </c>
      <c r="E366">
        <f t="shared" si="82"/>
        <v>7.9961108803974626E-2</v>
      </c>
      <c r="P366">
        <f t="shared" si="86"/>
        <v>0</v>
      </c>
      <c r="Q366">
        <f t="shared" si="87"/>
        <v>0</v>
      </c>
    </row>
    <row r="367" spans="1:17" x14ac:dyDescent="0.45">
      <c r="A367">
        <v>1.7999999999999901</v>
      </c>
      <c r="B367">
        <f t="shared" si="83"/>
        <v>2.9922465854456876E-2</v>
      </c>
      <c r="C367">
        <f t="shared" si="84"/>
        <v>0.13007753414554313</v>
      </c>
      <c r="D367">
        <f t="shared" si="85"/>
        <v>8.0020675772144834E-2</v>
      </c>
      <c r="E367">
        <f t="shared" si="82"/>
        <v>7.9963378840248497E-2</v>
      </c>
      <c r="P367">
        <f t="shared" si="86"/>
        <v>0</v>
      </c>
      <c r="Q367">
        <f t="shared" si="87"/>
        <v>0</v>
      </c>
    </row>
    <row r="368" spans="1:17" x14ac:dyDescent="0.45">
      <c r="A368">
        <v>1.8049999999999899</v>
      </c>
      <c r="B368">
        <f t="shared" si="83"/>
        <v>2.9924380179331148E-2</v>
      </c>
      <c r="C368">
        <f t="shared" si="84"/>
        <v>0.13007561982066884</v>
      </c>
      <c r="D368">
        <f t="shared" si="85"/>
        <v>8.0020165285511702E-2</v>
      </c>
      <c r="E368">
        <f t="shared" si="82"/>
        <v>7.9965586506215339E-2</v>
      </c>
      <c r="P368">
        <f t="shared" si="86"/>
        <v>0</v>
      </c>
      <c r="Q368">
        <f t="shared" si="87"/>
        <v>0</v>
      </c>
    </row>
    <row r="369" spans="1:17" x14ac:dyDescent="0.45">
      <c r="A369">
        <v>1.8099999999999901</v>
      </c>
      <c r="B369">
        <f t="shared" si="83"/>
        <v>2.9926247239355858E-2</v>
      </c>
      <c r="C369">
        <f t="shared" si="84"/>
        <v>0.13007375276064415</v>
      </c>
      <c r="D369">
        <f t="shared" si="85"/>
        <v>8.0019667402838432E-2</v>
      </c>
      <c r="E369">
        <f t="shared" si="82"/>
        <v>7.9967731929547384E-2</v>
      </c>
      <c r="P369">
        <f t="shared" si="86"/>
        <v>0</v>
      </c>
      <c r="Q369">
        <f t="shared" si="87"/>
        <v>0</v>
      </c>
    </row>
    <row r="370" spans="1:17" x14ac:dyDescent="0.45">
      <c r="A370">
        <v>1.81499999999999</v>
      </c>
      <c r="B370">
        <f t="shared" si="83"/>
        <v>2.9928068201504315E-2</v>
      </c>
      <c r="C370">
        <f t="shared" si="84"/>
        <v>0.13007193179849569</v>
      </c>
      <c r="D370">
        <f t="shared" si="85"/>
        <v>8.0019181812932189E-2</v>
      </c>
      <c r="E370">
        <f t="shared" si="82"/>
        <v>7.996981531385175E-2</v>
      </c>
      <c r="P370">
        <f t="shared" si="86"/>
        <v>0</v>
      </c>
      <c r="Q370">
        <f t="shared" si="87"/>
        <v>0</v>
      </c>
    </row>
    <row r="371" spans="1:17" x14ac:dyDescent="0.45">
      <c r="A371">
        <v>1.8199999999999901</v>
      </c>
      <c r="B371">
        <f t="shared" si="83"/>
        <v>2.9929844203937142E-2</v>
      </c>
      <c r="C371">
        <f t="shared" si="84"/>
        <v>0.13007015579606285</v>
      </c>
      <c r="D371">
        <f t="shared" si="85"/>
        <v>8.0018708212283435E-2</v>
      </c>
      <c r="E371">
        <f t="shared" si="82"/>
        <v>7.9971836934698254E-2</v>
      </c>
      <c r="P371">
        <f t="shared" si="86"/>
        <v>0</v>
      </c>
      <c r="Q371">
        <f t="shared" si="87"/>
        <v>0</v>
      </c>
    </row>
    <row r="372" spans="1:17" x14ac:dyDescent="0.45">
      <c r="A372">
        <v>1.82499999999999</v>
      </c>
      <c r="B372">
        <f t="shared" si="83"/>
        <v>2.9931576356713646E-2</v>
      </c>
      <c r="C372">
        <f t="shared" si="84"/>
        <v>0.13006842364328636</v>
      </c>
      <c r="D372">
        <f t="shared" si="85"/>
        <v>8.0018246304876361E-2</v>
      </c>
      <c r="E372">
        <f t="shared" si="82"/>
        <v>7.997379713574608E-2</v>
      </c>
      <c r="P372">
        <f t="shared" si="86"/>
        <v>0</v>
      </c>
      <c r="Q372">
        <f t="shared" si="87"/>
        <v>0</v>
      </c>
    </row>
    <row r="373" spans="1:17" x14ac:dyDescent="0.45">
      <c r="A373">
        <v>1.8299999999999901</v>
      </c>
      <c r="B373">
        <f t="shared" si="83"/>
        <v>2.993326574248574E-2</v>
      </c>
      <c r="C373">
        <f t="shared" si="84"/>
        <v>0.13006673425751425</v>
      </c>
      <c r="D373">
        <f t="shared" si="85"/>
        <v>8.0017795802003799E-2</v>
      </c>
      <c r="E373">
        <f t="shared" si="82"/>
        <v>7.9975696324969273E-2</v>
      </c>
      <c r="P373">
        <f t="shared" si="86"/>
        <v>0</v>
      </c>
      <c r="Q373">
        <f t="shared" si="87"/>
        <v>0</v>
      </c>
    </row>
    <row r="374" spans="1:17" x14ac:dyDescent="0.45">
      <c r="A374">
        <v>1.83499999999999</v>
      </c>
      <c r="B374">
        <f t="shared" si="83"/>
        <v>2.9934913417174483E-2</v>
      </c>
      <c r="C374">
        <f t="shared" si="84"/>
        <v>0.13006508658282551</v>
      </c>
      <c r="D374">
        <f t="shared" si="85"/>
        <v>8.0017356422086808E-2</v>
      </c>
      <c r="E374">
        <f t="shared" si="82"/>
        <v>7.9977534970981604E-2</v>
      </c>
      <c r="P374">
        <f t="shared" si="86"/>
        <v>0</v>
      </c>
      <c r="Q374">
        <f t="shared" si="87"/>
        <v>0</v>
      </c>
    </row>
    <row r="375" spans="1:17" x14ac:dyDescent="0.45">
      <c r="A375">
        <v>1.8399999999999901</v>
      </c>
      <c r="B375">
        <f t="shared" si="83"/>
        <v>2.9936520410630219E-2</v>
      </c>
      <c r="C375">
        <f t="shared" si="84"/>
        <v>0.13006347958936978</v>
      </c>
      <c r="D375">
        <f t="shared" si="85"/>
        <v>8.0016927890498607E-2</v>
      </c>
      <c r="E375">
        <f t="shared" si="82"/>
        <v>7.9979313599460547E-2</v>
      </c>
      <c r="P375">
        <f t="shared" si="86"/>
        <v>0</v>
      </c>
      <c r="Q375">
        <f t="shared" si="87"/>
        <v>0</v>
      </c>
    </row>
    <row r="376" spans="1:17" x14ac:dyDescent="0.45">
      <c r="A376">
        <v>1.84499999999999</v>
      </c>
      <c r="B376">
        <f t="shared" si="83"/>
        <v>2.9938087727276172E-2</v>
      </c>
      <c r="C376">
        <f t="shared" si="84"/>
        <v>0.13006191227272385</v>
      </c>
      <c r="D376">
        <f t="shared" si="85"/>
        <v>8.0016509939393021E-2</v>
      </c>
      <c r="E376">
        <f t="shared" si="82"/>
        <v>7.9981032789670337E-2</v>
      </c>
      <c r="P376">
        <f t="shared" si="86"/>
        <v>0</v>
      </c>
      <c r="Q376">
        <f t="shared" si="87"/>
        <v>0</v>
      </c>
    </row>
    <row r="377" spans="1:17" x14ac:dyDescent="0.45">
      <c r="A377">
        <v>1.8499999999999901</v>
      </c>
      <c r="B377">
        <f t="shared" si="83"/>
        <v>2.9939616346736239E-2</v>
      </c>
      <c r="C377">
        <f t="shared" si="84"/>
        <v>0.13006038365326378</v>
      </c>
      <c r="D377">
        <f t="shared" si="85"/>
        <v>8.0016102307537001E-2</v>
      </c>
      <c r="E377">
        <f t="shared" si="82"/>
        <v>7.9982693171083849E-2</v>
      </c>
      <c r="P377">
        <f t="shared" si="86"/>
        <v>0</v>
      </c>
      <c r="Q377">
        <f t="shared" si="87"/>
        <v>0</v>
      </c>
    </row>
    <row r="378" spans="1:17" x14ac:dyDescent="0.45">
      <c r="A378">
        <v>1.85499999999999</v>
      </c>
      <c r="B378">
        <f t="shared" si="83"/>
        <v>2.9941107224447372E-2</v>
      </c>
      <c r="C378">
        <f t="shared" si="84"/>
        <v>0.13005889277555263</v>
      </c>
      <c r="D378">
        <f t="shared" si="85"/>
        <v>8.0015704740147367E-2</v>
      </c>
      <c r="E378">
        <f t="shared" si="82"/>
        <v>7.9984295420103033E-2</v>
      </c>
      <c r="P378">
        <f t="shared" si="86"/>
        <v>0</v>
      </c>
      <c r="Q378">
        <f t="shared" si="87"/>
        <v>0</v>
      </c>
    </row>
    <row r="379" spans="1:17" x14ac:dyDescent="0.45">
      <c r="A379">
        <v>1.8599999999999901</v>
      </c>
      <c r="B379">
        <f t="shared" si="83"/>
        <v>2.994256129225667E-2</v>
      </c>
      <c r="C379">
        <f t="shared" si="84"/>
        <v>0.13005743870774333</v>
      </c>
      <c r="D379">
        <f t="shared" si="85"/>
        <v>8.0015316988731558E-2</v>
      </c>
      <c r="E379">
        <f t="shared" si="82"/>
        <v>7.9985840256877216E-2</v>
      </c>
      <c r="P379">
        <f t="shared" si="86"/>
        <v>0</v>
      </c>
      <c r="Q379">
        <f t="shared" si="87"/>
        <v>0</v>
      </c>
    </row>
    <row r="380" spans="1:17" x14ac:dyDescent="0.45">
      <c r="A380">
        <v>1.86499999999999</v>
      </c>
      <c r="B380">
        <f t="shared" si="83"/>
        <v>2.9943979459003831E-2</v>
      </c>
      <c r="C380">
        <f t="shared" si="84"/>
        <v>0.13005602054099619</v>
      </c>
      <c r="D380">
        <f t="shared" si="85"/>
        <v>8.0014938810932315E-2</v>
      </c>
      <c r="E380">
        <f t="shared" si="82"/>
        <v>7.998732844221898E-2</v>
      </c>
      <c r="P380">
        <f t="shared" si="86"/>
        <v>0</v>
      </c>
      <c r="Q380">
        <f t="shared" si="87"/>
        <v>0</v>
      </c>
    </row>
    <row r="381" spans="1:17" x14ac:dyDescent="0.45">
      <c r="A381">
        <v>1.8699999999999899</v>
      </c>
      <c r="B381">
        <f t="shared" si="83"/>
        <v>2.9945362611089252E-2</v>
      </c>
      <c r="C381">
        <f t="shared" si="84"/>
        <v>0.13005463738891077</v>
      </c>
      <c r="D381">
        <f t="shared" si="85"/>
        <v>8.0014569970376204E-2</v>
      </c>
      <c r="E381">
        <f t="shared" si="82"/>
        <v>7.9988760774616682E-2</v>
      </c>
      <c r="P381">
        <f t="shared" si="86"/>
        <v>0</v>
      </c>
      <c r="Q381">
        <f t="shared" si="87"/>
        <v>0</v>
      </c>
    </row>
    <row r="382" spans="1:17" x14ac:dyDescent="0.45">
      <c r="A382">
        <v>1.87499999999999</v>
      </c>
      <c r="B382">
        <f t="shared" si="83"/>
        <v>2.994671161302799E-2</v>
      </c>
      <c r="C382">
        <f t="shared" si="84"/>
        <v>0.130053288386972</v>
      </c>
      <c r="D382">
        <f t="shared" si="85"/>
        <v>8.0014210236525871E-2</v>
      </c>
      <c r="E382">
        <f t="shared" si="82"/>
        <v>7.9990138087342899E-2</v>
      </c>
      <c r="P382">
        <f t="shared" si="86"/>
        <v>0</v>
      </c>
      <c r="Q382">
        <f t="shared" si="87"/>
        <v>0</v>
      </c>
    </row>
    <row r="383" spans="1:17" x14ac:dyDescent="0.45">
      <c r="A383">
        <v>1.8799999999999899</v>
      </c>
      <c r="B383">
        <f t="shared" si="83"/>
        <v>2.9948027307990205E-2</v>
      </c>
      <c r="C383">
        <f t="shared" si="84"/>
        <v>0.1300519726920098</v>
      </c>
      <c r="D383">
        <f t="shared" si="85"/>
        <v>8.0013859384535951E-2</v>
      </c>
      <c r="E383">
        <f t="shared" si="82"/>
        <v>7.999146124565816E-2</v>
      </c>
      <c r="P383">
        <f t="shared" si="86"/>
        <v>0</v>
      </c>
      <c r="Q383">
        <f t="shared" si="87"/>
        <v>0</v>
      </c>
    </row>
    <row r="384" spans="1:17" x14ac:dyDescent="0.45">
      <c r="A384">
        <v>1.88499999999999</v>
      </c>
      <c r="B384">
        <f t="shared" si="83"/>
        <v>2.9949310518328054E-2</v>
      </c>
      <c r="C384">
        <f t="shared" si="84"/>
        <v>0.13005068948167195</v>
      </c>
      <c r="D384">
        <f t="shared" si="85"/>
        <v>8.0013517195112516E-2</v>
      </c>
      <c r="E384">
        <f t="shared" si="82"/>
        <v>7.9992731144108625E-2</v>
      </c>
      <c r="P384">
        <f t="shared" si="86"/>
        <v>0</v>
      </c>
      <c r="Q384">
        <f t="shared" si="87"/>
        <v>0</v>
      </c>
    </row>
    <row r="385" spans="1:17" x14ac:dyDescent="0.45">
      <c r="A385">
        <v>1.8899999999999899</v>
      </c>
      <c r="B385">
        <f t="shared" si="83"/>
        <v>2.9950562046089771E-2</v>
      </c>
      <c r="C385">
        <f t="shared" si="84"/>
        <v>0.13004943795391022</v>
      </c>
      <c r="D385">
        <f t="shared" si="85"/>
        <v>8.0013183454376066E-2</v>
      </c>
      <c r="E385">
        <f t="shared" si="82"/>
        <v>7.9993948703917003E-2</v>
      </c>
      <c r="P385">
        <f t="shared" si="86"/>
        <v>0</v>
      </c>
      <c r="Q385">
        <f t="shared" si="87"/>
        <v>0</v>
      </c>
    </row>
    <row r="386" spans="1:17" x14ac:dyDescent="0.45">
      <c r="A386">
        <v>1.89499999999999</v>
      </c>
      <c r="B386">
        <f t="shared" si="83"/>
        <v>2.9951782673520944E-2</v>
      </c>
      <c r="C386">
        <f t="shared" si="84"/>
        <v>0.13004821732647906</v>
      </c>
      <c r="D386">
        <f t="shared" si="85"/>
        <v>8.0012857953727742E-2</v>
      </c>
      <c r="E386">
        <f t="shared" si="82"/>
        <v>7.9995114870465539E-2</v>
      </c>
      <c r="P386">
        <f t="shared" si="86"/>
        <v>0</v>
      </c>
      <c r="Q386">
        <f t="shared" si="87"/>
        <v>0</v>
      </c>
    </row>
    <row r="387" spans="1:17" x14ac:dyDescent="0.45">
      <c r="A387">
        <v>1.8999999999999899</v>
      </c>
      <c r="B387">
        <f t="shared" si="83"/>
        <v>2.995297316355347E-2</v>
      </c>
      <c r="C387">
        <f t="shared" si="84"/>
        <v>0.13004702683644653</v>
      </c>
      <c r="D387">
        <f t="shared" si="85"/>
        <v>8.0012540489719078E-2</v>
      </c>
      <c r="E387">
        <f t="shared" si="82"/>
        <v>7.9996230610869745E-2</v>
      </c>
      <c r="P387">
        <f t="shared" si="86"/>
        <v>0</v>
      </c>
      <c r="Q387">
        <f t="shared" si="87"/>
        <v>0</v>
      </c>
    </row>
    <row r="388" spans="1:17" x14ac:dyDescent="0.45">
      <c r="A388">
        <v>1.90499999999999</v>
      </c>
      <c r="B388">
        <f t="shared" si="83"/>
        <v>2.9954134260282372E-2</v>
      </c>
      <c r="C388">
        <f t="shared" si="84"/>
        <v>0.13004586573971763</v>
      </c>
      <c r="D388">
        <f t="shared" si="85"/>
        <v>8.0012230863924699E-2</v>
      </c>
      <c r="E388">
        <f t="shared" si="82"/>
        <v>7.9997296911641896E-2</v>
      </c>
      <c r="P388">
        <f t="shared" si="86"/>
        <v>0</v>
      </c>
      <c r="Q388">
        <f t="shared" si="87"/>
        <v>0</v>
      </c>
    </row>
    <row r="389" spans="1:17" x14ac:dyDescent="0.45">
      <c r="A389">
        <v>1.9099999999999899</v>
      </c>
      <c r="B389">
        <f t="shared" si="83"/>
        <v>2.9955266689430882E-2</v>
      </c>
      <c r="C389">
        <f t="shared" si="84"/>
        <v>0.13004473331056912</v>
      </c>
      <c r="D389">
        <f t="shared" si="85"/>
        <v>8.0011928882818439E-2</v>
      </c>
      <c r="E389">
        <f t="shared" si="82"/>
        <v>7.9998314776442828E-2</v>
      </c>
      <c r="P389">
        <f t="shared" si="86"/>
        <v>0</v>
      </c>
      <c r="Q389">
        <f t="shared" si="87"/>
        <v>0</v>
      </c>
    </row>
    <row r="390" spans="1:17" x14ac:dyDescent="0.45">
      <c r="A390">
        <v>1.91499999999999</v>
      </c>
      <c r="B390">
        <f t="shared" si="83"/>
        <v>2.9956371158804104E-2</v>
      </c>
      <c r="C390">
        <f t="shared" si="84"/>
        <v>0.13004362884119591</v>
      </c>
      <c r="D390">
        <f t="shared" si="85"/>
        <v>8.0011634357652239E-2</v>
      </c>
      <c r="E390">
        <f t="shared" si="82"/>
        <v>7.9999285223920663E-2</v>
      </c>
      <c r="P390">
        <f t="shared" si="86"/>
        <v>0</v>
      </c>
      <c r="Q390">
        <f t="shared" si="87"/>
        <v>0</v>
      </c>
    </row>
    <row r="391" spans="1:17" x14ac:dyDescent="0.45">
      <c r="A391">
        <v>1.9199999999999899</v>
      </c>
      <c r="B391">
        <f t="shared" si="83"/>
        <v>2.9957448358731334E-2</v>
      </c>
      <c r="C391">
        <f t="shared" si="84"/>
        <v>0.13004255164126866</v>
      </c>
      <c r="D391">
        <f t="shared" si="85"/>
        <v>8.0011347104338312E-2</v>
      </c>
      <c r="E391">
        <f t="shared" ref="E391:E454" si="88">P0-SIGN(DeltaThetaDeg)*EXP(-Xi*Wn*A391)*(COS(Wd*A391)-(Xi*Wn-1)/(Wd)*SIN(Wd*A391))*Ppeak</f>
        <v>8.0000209285635338E-2</v>
      </c>
      <c r="P391">
        <f t="shared" si="86"/>
        <v>0</v>
      </c>
      <c r="Q391">
        <f t="shared" si="87"/>
        <v>0</v>
      </c>
    </row>
    <row r="392" spans="1:17" x14ac:dyDescent="0.45">
      <c r="A392">
        <v>1.9249999999999901</v>
      </c>
      <c r="B392">
        <f t="shared" si="83"/>
        <v>2.9958498962497596E-2</v>
      </c>
      <c r="C392">
        <f t="shared" si="84"/>
        <v>0.13004150103750239</v>
      </c>
      <c r="D392">
        <f t="shared" si="85"/>
        <v>8.0011066943333972E-2</v>
      </c>
      <c r="E392">
        <f t="shared" si="88"/>
        <v>8.0001088004067133E-2</v>
      </c>
      <c r="P392">
        <f t="shared" si="86"/>
        <v>0</v>
      </c>
      <c r="Q392">
        <f t="shared" si="87"/>
        <v>0</v>
      </c>
    </row>
    <row r="393" spans="1:17" x14ac:dyDescent="0.45">
      <c r="A393">
        <v>1.9299999999999899</v>
      </c>
      <c r="B393">
        <f t="shared" ref="B393:B456" si="89">P0-Ppeak*(1+Marge_haute)*EXP(-Sigma*A391)-Tunnel</f>
        <v>2.9959523626764434E-2</v>
      </c>
      <c r="C393">
        <f t="shared" ref="C393:C456" si="90">P0+Ppeak*(1+Marge_haute)*EXP(-Sigma*A391)+Tunnel</f>
        <v>0.13004047637323557</v>
      </c>
      <c r="D393">
        <f t="shared" ref="D393:D456" si="91">P0-SIGN(DeltaThetaDeg)*Marge_basse*Ppeak*EXP(-Sigma*A391)</f>
        <v>8.0010793699529487E-2</v>
      </c>
      <c r="E393">
        <f t="shared" si="88"/>
        <v>8.0001922430708028E-2</v>
      </c>
      <c r="P393">
        <f t="shared" si="86"/>
        <v>0</v>
      </c>
      <c r="Q393">
        <f t="shared" si="87"/>
        <v>0</v>
      </c>
    </row>
    <row r="394" spans="1:17" x14ac:dyDescent="0.45">
      <c r="A394">
        <v>1.9349999999999901</v>
      </c>
      <c r="B394">
        <f t="shared" si="89"/>
        <v>2.9960522991980404E-2</v>
      </c>
      <c r="C394">
        <f t="shared" si="90"/>
        <v>0.1300394770080196</v>
      </c>
      <c r="D394">
        <f t="shared" si="91"/>
        <v>8.0010527202138568E-2</v>
      </c>
      <c r="E394">
        <f t="shared" si="88"/>
        <v>8.0002713624234181E-2</v>
      </c>
      <c r="P394">
        <f t="shared" si="86"/>
        <v>0</v>
      </c>
      <c r="Q394">
        <f t="shared" si="87"/>
        <v>0</v>
      </c>
    </row>
    <row r="395" spans="1:17" x14ac:dyDescent="0.45">
      <c r="A395">
        <v>1.93999999999999</v>
      </c>
      <c r="B395">
        <f t="shared" si="89"/>
        <v>2.9961497682781266E-2</v>
      </c>
      <c r="C395">
        <f t="shared" si="90"/>
        <v>0.13003850231721875</v>
      </c>
      <c r="D395">
        <f t="shared" si="91"/>
        <v>8.0010267284591666E-2</v>
      </c>
      <c r="E395">
        <f t="shared" si="88"/>
        <v>8.0003462648758086E-2</v>
      </c>
      <c r="P395">
        <f t="shared" ref="P395:P458" si="92">IF(EMT_simulation,N391,N395)</f>
        <v>0</v>
      </c>
      <c r="Q395">
        <f t="shared" ref="Q395:Q458" si="93">IF(EMT_simulation,O391,O395)</f>
        <v>0</v>
      </c>
    </row>
    <row r="396" spans="1:17" x14ac:dyDescent="0.45">
      <c r="A396">
        <v>1.9449999999999901</v>
      </c>
      <c r="B396">
        <f t="shared" si="89"/>
        <v>2.9962448308380504E-2</v>
      </c>
      <c r="C396">
        <f t="shared" si="90"/>
        <v>0.13003755169161951</v>
      </c>
      <c r="D396">
        <f t="shared" si="91"/>
        <v>8.0010013784431872E-2</v>
      </c>
      <c r="E396">
        <f t="shared" si="88"/>
        <v>8.0004170572158792E-2</v>
      </c>
      <c r="P396">
        <f t="shared" si="92"/>
        <v>0</v>
      </c>
      <c r="Q396">
        <f t="shared" si="93"/>
        <v>0</v>
      </c>
    </row>
    <row r="397" spans="1:17" x14ac:dyDescent="0.45">
      <c r="A397">
        <v>1.94999999999999</v>
      </c>
      <c r="B397">
        <f t="shared" si="89"/>
        <v>2.9963375462950081E-2</v>
      </c>
      <c r="C397">
        <f t="shared" si="90"/>
        <v>0.13003662453704992</v>
      </c>
      <c r="D397">
        <f t="shared" si="91"/>
        <v>8.0009766543213318E-2</v>
      </c>
      <c r="E397">
        <f t="shared" si="88"/>
        <v>8.0004838464488595E-2</v>
      </c>
      <c r="P397">
        <f t="shared" si="92"/>
        <v>0</v>
      </c>
      <c r="Q397">
        <f t="shared" si="93"/>
        <v>0</v>
      </c>
    </row>
    <row r="398" spans="1:17" x14ac:dyDescent="0.45">
      <c r="A398">
        <v>1.9549999999999901</v>
      </c>
      <c r="B398">
        <f t="shared" si="89"/>
        <v>2.9964279725991763E-2</v>
      </c>
      <c r="C398">
        <f t="shared" si="90"/>
        <v>0.13003572027400823</v>
      </c>
      <c r="D398">
        <f t="shared" si="91"/>
        <v>8.0009525406402202E-2</v>
      </c>
      <c r="E398">
        <f t="shared" si="88"/>
        <v>8.0005467396454519E-2</v>
      </c>
      <c r="P398">
        <f t="shared" si="92"/>
        <v>0</v>
      </c>
      <c r="Q398">
        <f t="shared" si="93"/>
        <v>0</v>
      </c>
    </row>
    <row r="399" spans="1:17" x14ac:dyDescent="0.45">
      <c r="A399">
        <v>1.95999999999999</v>
      </c>
      <c r="B399">
        <f t="shared" si="89"/>
        <v>2.9965161662699399E-2</v>
      </c>
      <c r="C399">
        <f t="shared" si="90"/>
        <v>0.13003483833730062</v>
      </c>
      <c r="D399">
        <f t="shared" si="91"/>
        <v>8.0009290223280169E-2</v>
      </c>
      <c r="E399">
        <f t="shared" si="88"/>
        <v>8.0006058437973079E-2</v>
      </c>
      <c r="P399">
        <f t="shared" si="92"/>
        <v>0</v>
      </c>
      <c r="Q399">
        <f t="shared" si="93"/>
        <v>0</v>
      </c>
    </row>
    <row r="400" spans="1:17" x14ac:dyDescent="0.45">
      <c r="A400">
        <v>1.9649999999999901</v>
      </c>
      <c r="B400">
        <f t="shared" si="89"/>
        <v>2.9966021824312128E-2</v>
      </c>
      <c r="C400">
        <f t="shared" si="90"/>
        <v>0.13003397817568788</v>
      </c>
      <c r="D400">
        <f t="shared" si="91"/>
        <v>8.0009060846850097E-2</v>
      </c>
      <c r="E400">
        <f t="shared" si="88"/>
        <v>8.0006612656796483E-2</v>
      </c>
      <c r="P400">
        <f t="shared" si="92"/>
        <v>0</v>
      </c>
      <c r="Q400">
        <f t="shared" si="93"/>
        <v>0</v>
      </c>
    </row>
    <row r="401" spans="1:17" x14ac:dyDescent="0.45">
      <c r="A401">
        <v>1.96999999999999</v>
      </c>
      <c r="B401">
        <f t="shared" si="89"/>
        <v>2.9966860748458987E-2</v>
      </c>
      <c r="C401">
        <f t="shared" si="90"/>
        <v>0.13003313925154103</v>
      </c>
      <c r="D401">
        <f t="shared" si="91"/>
        <v>8.0008837133744279E-2</v>
      </c>
      <c r="E401">
        <f t="shared" si="88"/>
        <v>8.0007131117208766E-2</v>
      </c>
      <c r="P401">
        <f t="shared" si="92"/>
        <v>0</v>
      </c>
      <c r="Q401">
        <f t="shared" si="93"/>
        <v>0</v>
      </c>
    </row>
    <row r="402" spans="1:17" x14ac:dyDescent="0.45">
      <c r="A402">
        <v>1.9749999999999901</v>
      </c>
      <c r="B402">
        <f t="shared" si="89"/>
        <v>2.9967678959494842E-2</v>
      </c>
      <c r="C402">
        <f t="shared" si="90"/>
        <v>0.13003232104050516</v>
      </c>
      <c r="D402">
        <f t="shared" si="91"/>
        <v>8.0008618944134705E-2</v>
      </c>
      <c r="E402">
        <f t="shared" si="88"/>
        <v>8.0007614878790018E-2</v>
      </c>
      <c r="P402">
        <f t="shared" si="92"/>
        <v>0</v>
      </c>
      <c r="Q402">
        <f t="shared" si="93"/>
        <v>0</v>
      </c>
    </row>
    <row r="403" spans="1:17" x14ac:dyDescent="0.45">
      <c r="A403">
        <v>1.97999999999999</v>
      </c>
      <c r="B403">
        <f t="shared" si="89"/>
        <v>2.9968476968828262E-2</v>
      </c>
      <c r="C403">
        <f t="shared" si="90"/>
        <v>0.13003152303117174</v>
      </c>
      <c r="D403">
        <f t="shared" si="91"/>
        <v>8.0008406141645796E-2</v>
      </c>
      <c r="E403">
        <f t="shared" si="88"/>
        <v>8.000806499524718E-2</v>
      </c>
      <c r="P403">
        <f t="shared" si="92"/>
        <v>0</v>
      </c>
      <c r="Q403">
        <f t="shared" si="93"/>
        <v>0</v>
      </c>
    </row>
    <row r="404" spans="1:17" x14ac:dyDescent="0.45">
      <c r="A404">
        <v>1.9849999999999901</v>
      </c>
      <c r="B404">
        <f t="shared" si="89"/>
        <v>2.9969255275241025E-2</v>
      </c>
      <c r="C404">
        <f t="shared" si="90"/>
        <v>0.13003074472475898</v>
      </c>
      <c r="D404">
        <f t="shared" si="91"/>
        <v>8.0008198593269061E-2</v>
      </c>
      <c r="E404">
        <f t="shared" si="88"/>
        <v>8.0008482513309526E-2</v>
      </c>
      <c r="P404">
        <f t="shared" si="92"/>
        <v>0</v>
      </c>
      <c r="Q404">
        <f t="shared" si="93"/>
        <v>0</v>
      </c>
    </row>
    <row r="405" spans="1:17" x14ac:dyDescent="0.45">
      <c r="A405">
        <v>1.98999999999999</v>
      </c>
      <c r="B405">
        <f t="shared" si="89"/>
        <v>2.9970014365199985E-2</v>
      </c>
      <c r="C405">
        <f t="shared" si="90"/>
        <v>0.1300299856348</v>
      </c>
      <c r="D405">
        <f t="shared" si="91"/>
        <v>8.0007996169280005E-2</v>
      </c>
      <c r="E405">
        <f t="shared" si="88"/>
        <v>8.0008868471687269E-2</v>
      </c>
      <c r="P405">
        <f t="shared" si="92"/>
        <v>0</v>
      </c>
      <c r="Q405">
        <f t="shared" si="93"/>
        <v>0</v>
      </c>
    </row>
    <row r="406" spans="1:17" x14ac:dyDescent="0.45">
      <c r="A406">
        <v>1.9949999999999899</v>
      </c>
      <c r="B406">
        <f t="shared" si="89"/>
        <v>2.9970754713161088E-2</v>
      </c>
      <c r="C406">
        <f t="shared" si="90"/>
        <v>0.1300292452868389</v>
      </c>
      <c r="D406">
        <f t="shared" si="91"/>
        <v>8.0007798743157041E-2</v>
      </c>
      <c r="E406">
        <f t="shared" si="88"/>
        <v>8.0009223900091561E-2</v>
      </c>
      <c r="P406">
        <f t="shared" si="92"/>
        <v>0</v>
      </c>
      <c r="Q406">
        <f t="shared" si="93"/>
        <v>0</v>
      </c>
    </row>
    <row r="407" spans="1:17" x14ac:dyDescent="0.45">
      <c r="A407">
        <v>1.99999999999998</v>
      </c>
      <c r="B407">
        <f t="shared" si="89"/>
        <v>2.9971476781865888E-2</v>
      </c>
      <c r="C407">
        <f t="shared" si="90"/>
        <v>0.13002852321813413</v>
      </c>
      <c r="D407">
        <f t="shared" si="91"/>
        <v>8.0007606191502434E-2</v>
      </c>
      <c r="E407">
        <f t="shared" si="88"/>
        <v>8.0009549818314138E-2</v>
      </c>
      <c r="P407">
        <f t="shared" si="92"/>
        <v>0</v>
      </c>
      <c r="Q407">
        <f t="shared" si="93"/>
        <v>0</v>
      </c>
    </row>
    <row r="408" spans="1:17" x14ac:dyDescent="0.45">
      <c r="A408">
        <v>2.0049999999999799</v>
      </c>
      <c r="B408">
        <f t="shared" si="89"/>
        <v>2.9972181022630856E-2</v>
      </c>
      <c r="C408">
        <f t="shared" si="90"/>
        <v>0.13002781897736915</v>
      </c>
      <c r="D408">
        <f t="shared" si="91"/>
        <v>8.0007418393965107E-2</v>
      </c>
      <c r="E408">
        <f t="shared" si="88"/>
        <v>8.0009847235364903E-2</v>
      </c>
      <c r="P408">
        <f t="shared" si="92"/>
        <v>0</v>
      </c>
      <c r="Q408">
        <f t="shared" si="93"/>
        <v>0</v>
      </c>
    </row>
    <row r="409" spans="1:17" x14ac:dyDescent="0.45">
      <c r="A409">
        <v>2.00999999999999</v>
      </c>
      <c r="B409">
        <f t="shared" si="89"/>
        <v>2.9972867875629375E-2</v>
      </c>
      <c r="C409">
        <f t="shared" si="90"/>
        <v>0.13002713212437061</v>
      </c>
      <c r="D409">
        <f t="shared" si="91"/>
        <v>8.0007235233165497E-2</v>
      </c>
      <c r="E409">
        <f t="shared" si="88"/>
        <v>8.0010117148665932E-2</v>
      </c>
      <c r="P409">
        <f t="shared" si="92"/>
        <v>0</v>
      </c>
      <c r="Q409">
        <f t="shared" si="93"/>
        <v>0</v>
      </c>
    </row>
    <row r="410" spans="1:17" x14ac:dyDescent="0.45">
      <c r="A410">
        <v>2.0149999999999899</v>
      </c>
      <c r="B410">
        <f t="shared" si="89"/>
        <v>2.9973537770166953E-2</v>
      </c>
      <c r="C410">
        <f t="shared" si="90"/>
        <v>0.13002646222983305</v>
      </c>
      <c r="D410">
        <f t="shared" si="91"/>
        <v>8.000705659462215E-2</v>
      </c>
      <c r="E410">
        <f t="shared" si="88"/>
        <v>8.0010360543299922E-2</v>
      </c>
      <c r="P410">
        <f t="shared" si="92"/>
        <v>0</v>
      </c>
      <c r="Q410">
        <f t="shared" si="93"/>
        <v>0</v>
      </c>
    </row>
    <row r="411" spans="1:17" x14ac:dyDescent="0.45">
      <c r="A411">
        <v>2.01999999999998</v>
      </c>
      <c r="B411">
        <f t="shared" si="89"/>
        <v>2.9974191124949451E-2</v>
      </c>
      <c r="C411">
        <f t="shared" si="90"/>
        <v>0.13002580887505055</v>
      </c>
      <c r="D411">
        <f t="shared" si="91"/>
        <v>8.0006882366680146E-2</v>
      </c>
      <c r="E411">
        <f t="shared" si="88"/>
        <v>8.0010578391311718E-2</v>
      </c>
      <c r="P411">
        <f t="shared" si="92"/>
        <v>0</v>
      </c>
      <c r="Q411">
        <f t="shared" si="93"/>
        <v>0</v>
      </c>
    </row>
    <row r="412" spans="1:17" x14ac:dyDescent="0.45">
      <c r="A412">
        <v>2.0249999999999901</v>
      </c>
      <c r="B412">
        <f t="shared" si="89"/>
        <v>2.9974828348344904E-2</v>
      </c>
      <c r="C412">
        <f t="shared" si="90"/>
        <v>0.13002517165165511</v>
      </c>
      <c r="D412">
        <f t="shared" si="91"/>
        <v>8.0006712440441358E-2</v>
      </c>
      <c r="E412">
        <f t="shared" si="88"/>
        <v>8.0010771651061019E-2</v>
      </c>
      <c r="P412">
        <f t="shared" si="92"/>
        <v>0</v>
      </c>
      <c r="Q412">
        <f t="shared" si="93"/>
        <v>0</v>
      </c>
    </row>
    <row r="413" spans="1:17" x14ac:dyDescent="0.45">
      <c r="A413">
        <v>2.02999999999999</v>
      </c>
      <c r="B413">
        <f t="shared" si="89"/>
        <v>2.997544983863866E-2</v>
      </c>
      <c r="C413">
        <f t="shared" si="90"/>
        <v>0.13002455016136133</v>
      </c>
      <c r="D413">
        <f t="shared" si="91"/>
        <v>8.0006546709696355E-2</v>
      </c>
      <c r="E413">
        <f t="shared" si="88"/>
        <v>8.0010941266624766E-2</v>
      </c>
      <c r="P413">
        <f t="shared" si="92"/>
        <v>0</v>
      </c>
      <c r="Q413">
        <f t="shared" si="93"/>
        <v>0</v>
      </c>
    </row>
    <row r="414" spans="1:17" x14ac:dyDescent="0.45">
      <c r="A414">
        <v>2.0349999999999899</v>
      </c>
      <c r="B414">
        <f t="shared" si="89"/>
        <v>2.9976055984282393E-2</v>
      </c>
      <c r="C414">
        <f t="shared" si="90"/>
        <v>0.1300239440157176</v>
      </c>
      <c r="D414">
        <f t="shared" si="91"/>
        <v>8.0006385070858027E-2</v>
      </c>
      <c r="E414">
        <f t="shared" si="88"/>
        <v>8.0011088167247543E-2</v>
      </c>
      <c r="P414">
        <f t="shared" si="92"/>
        <v>0</v>
      </c>
      <c r="Q414">
        <f t="shared" si="93"/>
        <v>0</v>
      </c>
    </row>
    <row r="415" spans="1:17" x14ac:dyDescent="0.45">
      <c r="A415">
        <v>2.0399999999999801</v>
      </c>
      <c r="B415">
        <f t="shared" si="89"/>
        <v>2.9976647164136852E-2</v>
      </c>
      <c r="C415">
        <f t="shared" si="90"/>
        <v>0.13002335283586314</v>
      </c>
      <c r="D415">
        <f t="shared" si="91"/>
        <v>8.0006227422896842E-2</v>
      </c>
      <c r="E415">
        <f t="shared" si="88"/>
        <v>8.0011213266838313E-2</v>
      </c>
      <c r="P415">
        <f t="shared" si="92"/>
        <v>0</v>
      </c>
      <c r="Q415">
        <f t="shared" si="93"/>
        <v>0</v>
      </c>
    </row>
    <row r="416" spans="1:17" x14ac:dyDescent="0.45">
      <c r="A416">
        <v>2.0449999999999799</v>
      </c>
      <c r="B416">
        <f t="shared" si="89"/>
        <v>2.9977223747708698E-2</v>
      </c>
      <c r="C416">
        <f t="shared" si="90"/>
        <v>0.13002277625229131</v>
      </c>
      <c r="D416">
        <f t="shared" si="91"/>
        <v>8.0006073667277675E-2</v>
      </c>
      <c r="E416">
        <f t="shared" si="88"/>
        <v>8.0011317463511977E-2</v>
      </c>
      <c r="P416">
        <f t="shared" si="92"/>
        <v>0</v>
      </c>
      <c r="Q416">
        <f t="shared" si="93"/>
        <v>0</v>
      </c>
    </row>
    <row r="417" spans="1:17" x14ac:dyDescent="0.45">
      <c r="A417">
        <v>2.0499999999999798</v>
      </c>
      <c r="B417">
        <f t="shared" si="89"/>
        <v>2.9977786095381431E-2</v>
      </c>
      <c r="C417">
        <f t="shared" si="90"/>
        <v>0.13002221390461857</v>
      </c>
      <c r="D417">
        <f t="shared" si="91"/>
        <v>8.0005923707898288E-2</v>
      </c>
      <c r="E417">
        <f t="shared" si="88"/>
        <v>8.0011401639174112E-2</v>
      </c>
      <c r="P417">
        <f t="shared" si="92"/>
        <v>0</v>
      </c>
      <c r="Q417">
        <f t="shared" si="93"/>
        <v>0</v>
      </c>
    </row>
    <row r="418" spans="1:17" x14ac:dyDescent="0.45">
      <c r="A418">
        <v>2.0549999999999802</v>
      </c>
      <c r="B418">
        <f t="shared" si="89"/>
        <v>2.9978334558640671E-2</v>
      </c>
      <c r="C418">
        <f t="shared" si="90"/>
        <v>0.13002166544135935</v>
      </c>
      <c r="D418">
        <f t="shared" si="91"/>
        <v>8.0005777451029159E-2</v>
      </c>
      <c r="E418">
        <f t="shared" si="88"/>
        <v>8.0011466659147421E-2</v>
      </c>
      <c r="P418">
        <f t="shared" si="92"/>
        <v>0</v>
      </c>
      <c r="Q418">
        <f t="shared" si="93"/>
        <v>0</v>
      </c>
    </row>
    <row r="419" spans="1:17" x14ac:dyDescent="0.45">
      <c r="A419">
        <v>2.0599999999999801</v>
      </c>
      <c r="B419">
        <f t="shared" si="89"/>
        <v>2.9978869480293768E-2</v>
      </c>
      <c r="C419">
        <f t="shared" si="90"/>
        <v>0.13002113051970624</v>
      </c>
      <c r="D419">
        <f t="shared" si="91"/>
        <v>8.0005634805254994E-2</v>
      </c>
      <c r="E419">
        <f t="shared" si="88"/>
        <v>8.0011513371838178E-2</v>
      </c>
      <c r="P419">
        <f t="shared" si="92"/>
        <v>0</v>
      </c>
      <c r="Q419">
        <f t="shared" si="93"/>
        <v>0</v>
      </c>
    </row>
    <row r="420" spans="1:17" x14ac:dyDescent="0.45">
      <c r="A420">
        <v>2.06499999999998</v>
      </c>
      <c r="B420">
        <f t="shared" si="89"/>
        <v>2.9979391194684207E-2</v>
      </c>
      <c r="C420">
        <f t="shared" si="90"/>
        <v>0.1300206088053158</v>
      </c>
      <c r="D420">
        <f t="shared" si="91"/>
        <v>8.0005495681417543E-2</v>
      </c>
      <c r="E420">
        <f t="shared" si="88"/>
        <v>8.0011542608441413E-2</v>
      </c>
      <c r="P420">
        <f t="shared" si="92"/>
        <v>0</v>
      </c>
      <c r="Q420">
        <f t="shared" si="93"/>
        <v>0</v>
      </c>
    </row>
    <row r="421" spans="1:17" x14ac:dyDescent="0.45">
      <c r="A421">
        <v>2.0699999999999799</v>
      </c>
      <c r="B421">
        <f t="shared" si="89"/>
        <v>2.997990002790045E-2</v>
      </c>
      <c r="C421">
        <f t="shared" si="90"/>
        <v>0.13002009997209957</v>
      </c>
      <c r="D421">
        <f t="shared" si="91"/>
        <v>8.000535999255988E-2</v>
      </c>
      <c r="E421">
        <f t="shared" si="88"/>
        <v>8.0011555182683061E-2</v>
      </c>
      <c r="P421">
        <f t="shared" si="92"/>
        <v>0</v>
      </c>
      <c r="Q421">
        <f t="shared" si="93"/>
        <v>0</v>
      </c>
    </row>
    <row r="422" spans="1:17" x14ac:dyDescent="0.45">
      <c r="A422">
        <v>2.0749999999999802</v>
      </c>
      <c r="B422">
        <f t="shared" si="89"/>
        <v>2.9980396297979814E-2</v>
      </c>
      <c r="C422">
        <f t="shared" si="90"/>
        <v>0.1300196037020202</v>
      </c>
      <c r="D422">
        <f t="shared" si="91"/>
        <v>8.0005227653872052E-2</v>
      </c>
      <c r="E422">
        <f t="shared" si="88"/>
        <v>8.0011551890597832E-2</v>
      </c>
      <c r="P422">
        <f t="shared" si="92"/>
        <v>0</v>
      </c>
      <c r="Q422">
        <f t="shared" si="93"/>
        <v>0</v>
      </c>
    </row>
    <row r="423" spans="1:17" x14ac:dyDescent="0.45">
      <c r="A423">
        <v>2.0799999999999801</v>
      </c>
      <c r="B423">
        <f t="shared" si="89"/>
        <v>2.9980880315107261E-2</v>
      </c>
      <c r="C423">
        <f t="shared" si="90"/>
        <v>0.13001911968489274</v>
      </c>
      <c r="D423">
        <f t="shared" si="91"/>
        <v>8.000509858263806E-2</v>
      </c>
      <c r="E423">
        <f t="shared" si="88"/>
        <v>8.0011533510341237E-2</v>
      </c>
      <c r="P423">
        <f t="shared" si="92"/>
        <v>0</v>
      </c>
      <c r="Q423">
        <f t="shared" si="93"/>
        <v>0</v>
      </c>
    </row>
    <row r="424" spans="1:17" x14ac:dyDescent="0.45">
      <c r="A424">
        <v>2.08499999999998</v>
      </c>
      <c r="B424">
        <f t="shared" si="89"/>
        <v>2.9981352381809254E-2</v>
      </c>
      <c r="C424">
        <f t="shared" si="90"/>
        <v>0.13001864761819076</v>
      </c>
      <c r="D424">
        <f t="shared" si="91"/>
        <v>8.0004972698184199E-2</v>
      </c>
      <c r="E424">
        <f t="shared" si="88"/>
        <v>8.0011500802034397E-2</v>
      </c>
      <c r="P424">
        <f t="shared" si="92"/>
        <v>0</v>
      </c>
      <c r="Q424">
        <f t="shared" si="93"/>
        <v>0</v>
      </c>
    </row>
    <row r="425" spans="1:17" x14ac:dyDescent="0.45">
      <c r="A425">
        <v>2.0899999999999799</v>
      </c>
      <c r="B425">
        <f t="shared" si="89"/>
        <v>2.998181279314284E-2</v>
      </c>
      <c r="C425">
        <f t="shared" si="90"/>
        <v>0.13001818720685715</v>
      </c>
      <c r="D425">
        <f t="shared" si="91"/>
        <v>8.0004849921828575E-2</v>
      </c>
      <c r="E425">
        <f t="shared" si="88"/>
        <v>8.0011454507640176E-2</v>
      </c>
      <c r="P425">
        <f t="shared" si="92"/>
        <v>0</v>
      </c>
      <c r="Q425">
        <f t="shared" si="93"/>
        <v>0</v>
      </c>
    </row>
    <row r="426" spans="1:17" x14ac:dyDescent="0.45">
      <c r="A426">
        <v>2.0949999999999802</v>
      </c>
      <c r="B426">
        <f t="shared" si="89"/>
        <v>2.9982261836880103E-2</v>
      </c>
      <c r="C426">
        <f t="shared" si="90"/>
        <v>0.1300177381631199</v>
      </c>
      <c r="D426">
        <f t="shared" si="91"/>
        <v>8.0004730176831976E-2</v>
      </c>
      <c r="E426">
        <f t="shared" si="88"/>
        <v>8.0011395350869402E-2</v>
      </c>
      <c r="P426">
        <f t="shared" si="92"/>
        <v>0</v>
      </c>
      <c r="Q426">
        <f t="shared" si="93"/>
        <v>0</v>
      </c>
    </row>
    <row r="427" spans="1:17" x14ac:dyDescent="0.45">
      <c r="A427">
        <v>2.0999999999999801</v>
      </c>
      <c r="B427">
        <f t="shared" si="89"/>
        <v>2.9982699793687992E-2</v>
      </c>
      <c r="C427">
        <f t="shared" si="90"/>
        <v>0.13001730020631203</v>
      </c>
      <c r="D427">
        <f t="shared" si="91"/>
        <v>8.0004613388349868E-2</v>
      </c>
      <c r="E427">
        <f t="shared" si="88"/>
        <v>8.0011324037115736E-2</v>
      </c>
      <c r="P427">
        <f t="shared" si="92"/>
        <v>0</v>
      </c>
      <c r="Q427">
        <f t="shared" si="93"/>
        <v>0</v>
      </c>
    </row>
    <row r="428" spans="1:17" x14ac:dyDescent="0.45">
      <c r="A428">
        <v>2.10499999999998</v>
      </c>
      <c r="B428">
        <f t="shared" si="89"/>
        <v>2.9983126937303761E-2</v>
      </c>
      <c r="C428">
        <f t="shared" si="90"/>
        <v>0.13001687306269624</v>
      </c>
      <c r="D428">
        <f t="shared" si="91"/>
        <v>8.0004499483385672E-2</v>
      </c>
      <c r="E428">
        <f t="shared" si="88"/>
        <v>8.0011241253417811E-2</v>
      </c>
      <c r="P428">
        <f t="shared" si="92"/>
        <v>0</v>
      </c>
      <c r="Q428">
        <f t="shared" si="93"/>
        <v>0</v>
      </c>
    </row>
    <row r="429" spans="1:17" x14ac:dyDescent="0.45">
      <c r="A429">
        <v>2.1099999999999799</v>
      </c>
      <c r="B429">
        <f t="shared" si="89"/>
        <v>2.9983543534706086E-2</v>
      </c>
      <c r="C429">
        <f t="shared" si="90"/>
        <v>0.13001645646529392</v>
      </c>
      <c r="D429">
        <f t="shared" si="91"/>
        <v>8.0004388390745043E-2</v>
      </c>
      <c r="E429">
        <f t="shared" si="88"/>
        <v>8.0011147668447538E-2</v>
      </c>
      <c r="P429">
        <f t="shared" si="92"/>
        <v>0</v>
      </c>
      <c r="Q429">
        <f t="shared" si="93"/>
        <v>0</v>
      </c>
    </row>
    <row r="430" spans="1:17" x14ac:dyDescent="0.45">
      <c r="A430">
        <v>2.1149999999999798</v>
      </c>
      <c r="B430">
        <f t="shared" si="89"/>
        <v>2.9983949846281888E-2</v>
      </c>
      <c r="C430">
        <f t="shared" si="90"/>
        <v>0.13001605015371812</v>
      </c>
      <c r="D430">
        <f t="shared" si="91"/>
        <v>8.0004280040991499E-2</v>
      </c>
      <c r="E430">
        <f t="shared" si="88"/>
        <v>8.0011043932523257E-2</v>
      </c>
      <c r="P430">
        <f t="shared" si="92"/>
        <v>0</v>
      </c>
      <c r="Q430">
        <f t="shared" si="93"/>
        <v>0</v>
      </c>
    </row>
    <row r="431" spans="1:17" x14ac:dyDescent="0.45">
      <c r="A431">
        <v>2.1199999999999801</v>
      </c>
      <c r="B431">
        <f t="shared" si="89"/>
        <v>2.9984346125989145E-2</v>
      </c>
      <c r="C431">
        <f t="shared" si="90"/>
        <v>0.13001565387401087</v>
      </c>
      <c r="D431">
        <f t="shared" si="91"/>
        <v>8.0004174366402891E-2</v>
      </c>
      <c r="E431">
        <f t="shared" si="88"/>
        <v>8.0010930677646336E-2</v>
      </c>
      <c r="P431">
        <f t="shared" si="92"/>
        <v>0</v>
      </c>
      <c r="Q431">
        <f t="shared" si="93"/>
        <v>0</v>
      </c>
    </row>
    <row r="432" spans="1:17" x14ac:dyDescent="0.45">
      <c r="A432">
        <v>2.12499999999998</v>
      </c>
      <c r="B432">
        <f t="shared" si="89"/>
        <v>2.9984732621515575E-2</v>
      </c>
      <c r="C432">
        <f t="shared" si="90"/>
        <v>0.13001526737848443</v>
      </c>
      <c r="D432">
        <f t="shared" si="91"/>
        <v>8.000407130092918E-2</v>
      </c>
      <c r="E432">
        <f t="shared" si="88"/>
        <v>8.0010808517560289E-2</v>
      </c>
      <c r="P432">
        <f t="shared" si="92"/>
        <v>0</v>
      </c>
      <c r="Q432">
        <f t="shared" si="93"/>
        <v>0</v>
      </c>
    </row>
    <row r="433" spans="1:17" x14ac:dyDescent="0.45">
      <c r="A433">
        <v>2.1299999999999799</v>
      </c>
      <c r="B433">
        <f t="shared" si="89"/>
        <v>2.9985109574433455E-2</v>
      </c>
      <c r="C433">
        <f t="shared" si="90"/>
        <v>0.13001489042556655</v>
      </c>
      <c r="D433">
        <f t="shared" si="91"/>
        <v>8.0003970780151076E-2</v>
      </c>
      <c r="E433">
        <f t="shared" si="88"/>
        <v>8.0010678047831074E-2</v>
      </c>
      <c r="P433">
        <f t="shared" si="92"/>
        <v>0</v>
      </c>
      <c r="Q433">
        <f t="shared" si="93"/>
        <v>0</v>
      </c>
    </row>
    <row r="434" spans="1:17" x14ac:dyDescent="0.45">
      <c r="A434">
        <v>2.1349999999999798</v>
      </c>
      <c r="B434">
        <f t="shared" si="89"/>
        <v>2.9985477220350623E-2</v>
      </c>
      <c r="C434">
        <f t="shared" si="90"/>
        <v>0.13001452277964937</v>
      </c>
      <c r="D434">
        <f t="shared" si="91"/>
        <v>8.0003872741239837E-2</v>
      </c>
      <c r="E434">
        <f t="shared" si="88"/>
        <v>8.0010539845947429E-2</v>
      </c>
      <c r="P434">
        <f t="shared" si="92"/>
        <v>0</v>
      </c>
      <c r="Q434">
        <f t="shared" si="93"/>
        <v>0</v>
      </c>
    </row>
    <row r="435" spans="1:17" x14ac:dyDescent="0.45">
      <c r="A435">
        <v>2.1399999999999801</v>
      </c>
      <c r="B435">
        <f t="shared" si="89"/>
        <v>2.9985835789057766E-2</v>
      </c>
      <c r="C435">
        <f t="shared" si="90"/>
        <v>0.13001416421094225</v>
      </c>
      <c r="D435">
        <f t="shared" si="91"/>
        <v>8.0003777122917938E-2</v>
      </c>
      <c r="E435">
        <f t="shared" si="88"/>
        <v>8.001039447144026E-2</v>
      </c>
      <c r="P435">
        <f t="shared" si="92"/>
        <v>0</v>
      </c>
      <c r="Q435">
        <f t="shared" si="93"/>
        <v>0</v>
      </c>
    </row>
    <row r="436" spans="1:17" x14ac:dyDescent="0.45">
      <c r="A436">
        <v>2.14499999999998</v>
      </c>
      <c r="B436">
        <f t="shared" si="89"/>
        <v>2.9986185504671983E-2</v>
      </c>
      <c r="C436">
        <f t="shared" si="90"/>
        <v>0.13001381449532801</v>
      </c>
      <c r="D436">
        <f t="shared" si="91"/>
        <v>8.000368386542081E-2</v>
      </c>
      <c r="E436">
        <f t="shared" si="88"/>
        <v>8.0010242466019801E-2</v>
      </c>
      <c r="P436">
        <f t="shared" si="92"/>
        <v>0</v>
      </c>
      <c r="Q436">
        <f t="shared" si="93"/>
        <v>0</v>
      </c>
    </row>
    <row r="437" spans="1:17" x14ac:dyDescent="0.45">
      <c r="A437">
        <v>2.1499999999999799</v>
      </c>
      <c r="B437">
        <f t="shared" si="89"/>
        <v>2.9986526585776913E-2</v>
      </c>
      <c r="C437">
        <f t="shared" si="90"/>
        <v>0.13001347341422309</v>
      </c>
      <c r="D437">
        <f t="shared" si="91"/>
        <v>8.0003592910459498E-2</v>
      </c>
      <c r="E437">
        <f t="shared" si="88"/>
        <v>8.0010084353729735E-2</v>
      </c>
      <c r="P437">
        <f t="shared" si="92"/>
        <v>0</v>
      </c>
      <c r="Q437">
        <f t="shared" si="93"/>
        <v>0</v>
      </c>
    </row>
    <row r="438" spans="1:17" x14ac:dyDescent="0.45">
      <c r="A438">
        <v>2.1549999999999798</v>
      </c>
      <c r="B438">
        <f t="shared" si="89"/>
        <v>2.9986859245559355E-2</v>
      </c>
      <c r="C438">
        <f t="shared" si="90"/>
        <v>0.13001314075444065</v>
      </c>
      <c r="D438">
        <f t="shared" si="91"/>
        <v>8.000350420118417E-2</v>
      </c>
      <c r="E438">
        <f t="shared" si="88"/>
        <v>8.0009920641117033E-2</v>
      </c>
      <c r="P438">
        <f t="shared" si="92"/>
        <v>0</v>
      </c>
      <c r="Q438">
        <f t="shared" si="93"/>
        <v>0</v>
      </c>
    </row>
    <row r="439" spans="1:17" x14ac:dyDescent="0.45">
      <c r="A439">
        <v>2.1599999999999802</v>
      </c>
      <c r="B439">
        <f t="shared" si="89"/>
        <v>2.9987183691942504E-2</v>
      </c>
      <c r="C439">
        <f t="shared" si="90"/>
        <v>0.1300128163080575</v>
      </c>
      <c r="D439">
        <f t="shared" si="91"/>
        <v>8.0003417682148664E-2</v>
      </c>
      <c r="E439">
        <f t="shared" si="88"/>
        <v>8.0009751817416569E-2</v>
      </c>
      <c r="P439">
        <f t="shared" si="92"/>
        <v>0</v>
      </c>
      <c r="Q439">
        <f t="shared" si="93"/>
        <v>0</v>
      </c>
    </row>
    <row r="440" spans="1:17" x14ac:dyDescent="0.45">
      <c r="A440">
        <v>2.1649999999999801</v>
      </c>
      <c r="B440">
        <f t="shared" si="89"/>
        <v>2.9987500127715921E-2</v>
      </c>
      <c r="C440">
        <f t="shared" si="90"/>
        <v>0.13001249987228408</v>
      </c>
      <c r="D440">
        <f t="shared" si="91"/>
        <v>8.0003333299275753E-2</v>
      </c>
      <c r="E440">
        <f t="shared" si="88"/>
        <v>8.0009578354749741E-2</v>
      </c>
      <c r="P440">
        <f t="shared" si="92"/>
        <v>0</v>
      </c>
      <c r="Q440">
        <f t="shared" si="93"/>
        <v>0</v>
      </c>
    </row>
    <row r="441" spans="1:17" x14ac:dyDescent="0.45">
      <c r="A441">
        <v>2.1699999999999799</v>
      </c>
      <c r="B441">
        <f t="shared" si="89"/>
        <v>2.9987808750662245E-2</v>
      </c>
      <c r="C441">
        <f t="shared" si="90"/>
        <v>0.13001219124933777</v>
      </c>
      <c r="D441">
        <f t="shared" si="91"/>
        <v>8.0003250999823403E-2</v>
      </c>
      <c r="E441">
        <f t="shared" si="88"/>
        <v>8.0009400708335815E-2</v>
      </c>
      <c r="P441">
        <f t="shared" si="92"/>
        <v>0</v>
      </c>
      <c r="Q441">
        <f t="shared" si="93"/>
        <v>0</v>
      </c>
    </row>
    <row r="442" spans="1:17" x14ac:dyDescent="0.45">
      <c r="A442">
        <v>2.1749999999999798</v>
      </c>
      <c r="B442">
        <f t="shared" si="89"/>
        <v>2.998810975368088E-2</v>
      </c>
      <c r="C442">
        <f t="shared" si="90"/>
        <v>0.13001189024631912</v>
      </c>
      <c r="D442">
        <f t="shared" si="91"/>
        <v>8.0003170732351761E-2</v>
      </c>
      <c r="E442">
        <f t="shared" si="88"/>
        <v>8.0009219316715383E-2</v>
      </c>
      <c r="P442">
        <f t="shared" si="92"/>
        <v>0</v>
      </c>
      <c r="Q442">
        <f t="shared" si="93"/>
        <v>0</v>
      </c>
    </row>
    <row r="443" spans="1:17" x14ac:dyDescent="0.45">
      <c r="A443">
        <v>2.1799999999999802</v>
      </c>
      <c r="B443">
        <f t="shared" si="89"/>
        <v>2.9988403324908514E-2</v>
      </c>
      <c r="C443">
        <f t="shared" si="90"/>
        <v>0.13001159667509149</v>
      </c>
      <c r="D443">
        <f t="shared" si="91"/>
        <v>8.0003092446691071E-2</v>
      </c>
      <c r="E443">
        <f t="shared" si="88"/>
        <v>8.0009034601984927E-2</v>
      </c>
      <c r="P443">
        <f t="shared" si="92"/>
        <v>0</v>
      </c>
      <c r="Q443">
        <f t="shared" si="93"/>
        <v>0</v>
      </c>
    </row>
    <row r="444" spans="1:17" x14ac:dyDescent="0.45">
      <c r="A444">
        <v>2.1849999999999801</v>
      </c>
      <c r="B444">
        <f t="shared" si="89"/>
        <v>2.99886896478367E-2</v>
      </c>
      <c r="C444">
        <f t="shared" si="90"/>
        <v>0.13001131035216329</v>
      </c>
      <c r="D444">
        <f t="shared" si="91"/>
        <v>8.0003016093910209E-2</v>
      </c>
      <c r="E444">
        <f t="shared" si="88"/>
        <v>8.0008846970041583E-2</v>
      </c>
      <c r="P444">
        <f t="shared" si="92"/>
        <v>0</v>
      </c>
      <c r="Q444">
        <f t="shared" si="93"/>
        <v>0</v>
      </c>
    </row>
    <row r="445" spans="1:17" x14ac:dyDescent="0.45">
      <c r="A445">
        <v>2.18999999999998</v>
      </c>
      <c r="B445">
        <f t="shared" si="89"/>
        <v>2.9988968901426591E-2</v>
      </c>
      <c r="C445">
        <f t="shared" si="90"/>
        <v>0.13001103109857343</v>
      </c>
      <c r="D445">
        <f t="shared" si="91"/>
        <v>8.0002941626286239E-2</v>
      </c>
      <c r="E445">
        <f t="shared" si="88"/>
        <v>8.0008656810837464E-2</v>
      </c>
      <c r="P445">
        <f t="shared" si="92"/>
        <v>0</v>
      </c>
      <c r="Q445">
        <f t="shared" si="93"/>
        <v>0</v>
      </c>
    </row>
    <row r="446" spans="1:17" x14ac:dyDescent="0.45">
      <c r="A446">
        <v>2.1949999999999799</v>
      </c>
      <c r="B446">
        <f t="shared" si="89"/>
        <v>2.9989241260220803E-2</v>
      </c>
      <c r="C446">
        <f t="shared" si="90"/>
        <v>0.13001075873977919</v>
      </c>
      <c r="D446">
        <f t="shared" si="91"/>
        <v>8.0002868997274448E-2</v>
      </c>
      <c r="E446">
        <f t="shared" si="88"/>
        <v>8.000846449864249E-2</v>
      </c>
      <c r="P446">
        <f t="shared" si="92"/>
        <v>0</v>
      </c>
      <c r="Q446">
        <f t="shared" si="93"/>
        <v>0</v>
      </c>
    </row>
    <row r="447" spans="1:17" x14ac:dyDescent="0.45">
      <c r="A447">
        <v>2.1999999999999802</v>
      </c>
      <c r="B447">
        <f t="shared" si="89"/>
        <v>2.9989506894452414E-2</v>
      </c>
      <c r="C447">
        <f t="shared" si="90"/>
        <v>0.13001049310554758</v>
      </c>
      <c r="D447">
        <f t="shared" si="91"/>
        <v>8.0002798161479358E-2</v>
      </c>
      <c r="E447">
        <f t="shared" si="88"/>
        <v>8.000827039231527E-2</v>
      </c>
      <c r="P447">
        <f t="shared" si="92"/>
        <v>0</v>
      </c>
      <c r="Q447">
        <f t="shared" si="93"/>
        <v>0</v>
      </c>
    </row>
    <row r="448" spans="1:17" x14ac:dyDescent="0.45">
      <c r="A448">
        <v>2.2049999999999801</v>
      </c>
      <c r="B448">
        <f t="shared" si="89"/>
        <v>2.9989765970151475E-2</v>
      </c>
      <c r="C448">
        <f t="shared" si="90"/>
        <v>0.13001023402984851</v>
      </c>
      <c r="D448">
        <f t="shared" si="91"/>
        <v>8.0002729074626272E-2</v>
      </c>
      <c r="E448">
        <f t="shared" si="88"/>
        <v>8.0008074835580895E-2</v>
      </c>
      <c r="P448">
        <f t="shared" si="92"/>
        <v>0</v>
      </c>
      <c r="Q448">
        <f t="shared" si="93"/>
        <v>0</v>
      </c>
    </row>
    <row r="449" spans="1:17" x14ac:dyDescent="0.45">
      <c r="A449">
        <v>2.20999999999998</v>
      </c>
      <c r="B449">
        <f t="shared" si="89"/>
        <v>2.9990018649248745E-2</v>
      </c>
      <c r="C449">
        <f t="shared" si="90"/>
        <v>0.13000998135075126</v>
      </c>
      <c r="D449">
        <f t="shared" si="91"/>
        <v>8.0002661693533664E-2</v>
      </c>
      <c r="E449">
        <f t="shared" si="88"/>
        <v>8.0007878157315401E-2</v>
      </c>
      <c r="P449">
        <f t="shared" si="92"/>
        <v>0</v>
      </c>
      <c r="Q449">
        <f t="shared" si="93"/>
        <v>0</v>
      </c>
    </row>
    <row r="450" spans="1:17" x14ac:dyDescent="0.45">
      <c r="A450">
        <v>2.2149999999999799</v>
      </c>
      <c r="B450">
        <f t="shared" si="89"/>
        <v>2.9990265089676865E-2</v>
      </c>
      <c r="C450">
        <f t="shared" si="90"/>
        <v>0.13000973491032314</v>
      </c>
      <c r="D450">
        <f t="shared" si="91"/>
        <v>8.0002595976086166E-2</v>
      </c>
      <c r="E450">
        <f t="shared" si="88"/>
        <v>8.0007680671835765E-2</v>
      </c>
      <c r="P450">
        <f t="shared" si="92"/>
        <v>0</v>
      </c>
      <c r="Q450">
        <f t="shared" si="93"/>
        <v>0</v>
      </c>
    </row>
    <row r="451" spans="1:17" x14ac:dyDescent="0.45">
      <c r="A451">
        <v>2.2199999999999802</v>
      </c>
      <c r="B451">
        <f t="shared" si="89"/>
        <v>2.9990505445469134E-2</v>
      </c>
      <c r="C451">
        <f t="shared" si="90"/>
        <v>0.13000949455453087</v>
      </c>
      <c r="D451">
        <f t="shared" si="91"/>
        <v>8.0002531881208233E-2</v>
      </c>
      <c r="E451">
        <f t="shared" si="88"/>
        <v>8.0007482679195108E-2</v>
      </c>
      <c r="P451">
        <f t="shared" si="92"/>
        <v>0</v>
      </c>
      <c r="Q451">
        <f t="shared" si="93"/>
        <v>0</v>
      </c>
    </row>
    <row r="452" spans="1:17" x14ac:dyDescent="0.45">
      <c r="A452">
        <v>2.2249999999999801</v>
      </c>
      <c r="B452">
        <f t="shared" si="89"/>
        <v>2.9990739866855756E-2</v>
      </c>
      <c r="C452">
        <f t="shared" si="90"/>
        <v>0.13000926013314423</v>
      </c>
      <c r="D452">
        <f t="shared" si="91"/>
        <v>8.0002469368838466E-2</v>
      </c>
      <c r="E452">
        <f t="shared" si="88"/>
        <v>8.0007284465482234E-2</v>
      </c>
      <c r="P452">
        <f t="shared" si="92"/>
        <v>0</v>
      </c>
      <c r="Q452">
        <f t="shared" si="93"/>
        <v>0</v>
      </c>
    </row>
    <row r="453" spans="1:17" x14ac:dyDescent="0.45">
      <c r="A453">
        <v>2.22999999999998</v>
      </c>
      <c r="B453">
        <f t="shared" si="89"/>
        <v>2.999096850035772E-2</v>
      </c>
      <c r="C453">
        <f t="shared" si="90"/>
        <v>0.13000903149964227</v>
      </c>
      <c r="D453">
        <f t="shared" si="91"/>
        <v>8.0002408399904607E-2</v>
      </c>
      <c r="E453">
        <f t="shared" si="88"/>
        <v>8.0007086303125058E-2</v>
      </c>
      <c r="P453">
        <f t="shared" si="92"/>
        <v>0</v>
      </c>
      <c r="Q453">
        <f t="shared" si="93"/>
        <v>0</v>
      </c>
    </row>
    <row r="454" spans="1:17" x14ac:dyDescent="0.45">
      <c r="A454">
        <v>2.2349999999999799</v>
      </c>
      <c r="B454">
        <f t="shared" si="89"/>
        <v>2.999119148887841E-2</v>
      </c>
      <c r="C454">
        <f t="shared" si="90"/>
        <v>0.13000880851112159</v>
      </c>
      <c r="D454">
        <f t="shared" si="91"/>
        <v>8.0002348936299095E-2</v>
      </c>
      <c r="E454">
        <f t="shared" si="88"/>
        <v>8.0006888451197231E-2</v>
      </c>
      <c r="P454">
        <f t="shared" si="92"/>
        <v>0</v>
      </c>
      <c r="Q454">
        <f t="shared" si="93"/>
        <v>0</v>
      </c>
    </row>
    <row r="455" spans="1:17" x14ac:dyDescent="0.45">
      <c r="A455">
        <v>2.2399999999999798</v>
      </c>
      <c r="B455">
        <f t="shared" si="89"/>
        <v>2.9991408971792893E-2</v>
      </c>
      <c r="C455">
        <f t="shared" si="90"/>
        <v>0.13000859102820711</v>
      </c>
      <c r="D455">
        <f t="shared" si="91"/>
        <v>8.0002290940855231E-2</v>
      </c>
      <c r="E455">
        <f t="shared" ref="E455:E518" si="94">P0-SIGN(DeltaThetaDeg)*EXP(-Xi*Wn*A455)*(COS(Wd*A455)-(Xi*Wn-1)/(Wd)*SIN(Wd*A455))*Ppeak</f>
        <v>8.0006691155727477E-2</v>
      </c>
      <c r="P455">
        <f t="shared" si="92"/>
        <v>0</v>
      </c>
      <c r="Q455">
        <f t="shared" si="93"/>
        <v>0</v>
      </c>
    </row>
    <row r="456" spans="1:17" x14ac:dyDescent="0.45">
      <c r="A456">
        <v>2.2449999999999801</v>
      </c>
      <c r="B456">
        <f t="shared" si="89"/>
        <v>2.99916210850351E-2</v>
      </c>
      <c r="C456">
        <f t="shared" si="90"/>
        <v>0.13000837891496492</v>
      </c>
      <c r="D456">
        <f t="shared" si="91"/>
        <v>8.0002234377323969E-2</v>
      </c>
      <c r="E456">
        <f t="shared" si="94"/>
        <v>8.0006494650010987E-2</v>
      </c>
      <c r="P456">
        <f t="shared" si="92"/>
        <v>0</v>
      </c>
      <c r="Q456">
        <f t="shared" si="93"/>
        <v>0</v>
      </c>
    </row>
    <row r="457" spans="1:17" x14ac:dyDescent="0.45">
      <c r="A457">
        <v>2.24999999999998</v>
      </c>
      <c r="B457">
        <f t="shared" ref="B457:B520" si="95">P0-Ppeak*(1+Marge_haute)*EXP(-Sigma*A455)-Tunnel</f>
        <v>2.9991827961182688E-2</v>
      </c>
      <c r="C457">
        <f t="shared" ref="C457:C520" si="96">P0+Ppeak*(1+Marge_haute)*EXP(-Sigma*A455)+Tunnel</f>
        <v>0.13000817203881732</v>
      </c>
      <c r="D457">
        <f t="shared" ref="D457:D520" si="97">P0-SIGN(DeltaThetaDeg)*Marge_basse*Ppeak*EXP(-Sigma*A455)</f>
        <v>8.0002179210351285E-2</v>
      </c>
      <c r="E457">
        <f t="shared" si="94"/>
        <v>8.0006299154922564E-2</v>
      </c>
      <c r="P457">
        <f t="shared" si="92"/>
        <v>0</v>
      </c>
      <c r="Q457">
        <f t="shared" si="93"/>
        <v>0</v>
      </c>
    </row>
    <row r="458" spans="1:17" x14ac:dyDescent="0.45">
      <c r="A458">
        <v>2.2549999999999799</v>
      </c>
      <c r="B458">
        <f t="shared" si="95"/>
        <v>2.9992029729539987E-2</v>
      </c>
      <c r="C458">
        <f t="shared" si="96"/>
        <v>0.13000797027046002</v>
      </c>
      <c r="D458">
        <f t="shared" si="97"/>
        <v>8.0002125405456009E-2</v>
      </c>
      <c r="E458">
        <f t="shared" si="94"/>
        <v>8.0006104879230738E-2</v>
      </c>
      <c r="P458">
        <f t="shared" si="92"/>
        <v>0</v>
      </c>
      <c r="Q458">
        <f t="shared" si="93"/>
        <v>0</v>
      </c>
    </row>
    <row r="459" spans="1:17" x14ac:dyDescent="0.45">
      <c r="A459">
        <v>2.2599999999999798</v>
      </c>
      <c r="B459">
        <f t="shared" si="95"/>
        <v>2.9992226516218815E-2</v>
      </c>
      <c r="C459">
        <f t="shared" si="96"/>
        <v>0.13000777348378117</v>
      </c>
      <c r="D459">
        <f t="shared" si="97"/>
        <v>8.0002072929008322E-2</v>
      </c>
      <c r="E459">
        <f t="shared" si="94"/>
        <v>8.0005912019912667E-2</v>
      </c>
      <c r="P459">
        <f t="shared" ref="P459:P522" si="98">IF(EMT_simulation,N455,N459)</f>
        <v>0</v>
      </c>
      <c r="Q459">
        <f t="shared" ref="Q459:Q522" si="99">IF(EMT_simulation,O455,O459)</f>
        <v>0</v>
      </c>
    </row>
    <row r="460" spans="1:17" x14ac:dyDescent="0.45">
      <c r="A460">
        <v>2.2649999999999801</v>
      </c>
      <c r="B460">
        <f t="shared" si="95"/>
        <v>2.9992418444217211E-2</v>
      </c>
      <c r="C460">
        <f t="shared" si="96"/>
        <v>0.13000758155578279</v>
      </c>
      <c r="D460">
        <f t="shared" si="97"/>
        <v>8.0002021748208738E-2</v>
      </c>
      <c r="E460">
        <f t="shared" si="94"/>
        <v>8.000572076246916E-2</v>
      </c>
      <c r="P460">
        <f t="shared" si="98"/>
        <v>0</v>
      </c>
      <c r="Q460">
        <f t="shared" si="99"/>
        <v>0</v>
      </c>
    </row>
    <row r="461" spans="1:17" x14ac:dyDescent="0.45">
      <c r="A461">
        <v>2.26999999999998</v>
      </c>
      <c r="B461">
        <f t="shared" si="95"/>
        <v>2.9992605633496455E-2</v>
      </c>
      <c r="C461">
        <f t="shared" si="96"/>
        <v>0.13000739436650355</v>
      </c>
      <c r="D461">
        <f t="shared" si="97"/>
        <v>8.0001971831067609E-2</v>
      </c>
      <c r="E461">
        <f t="shared" si="94"/>
        <v>8.0005531281239564E-2</v>
      </c>
      <c r="P461">
        <f t="shared" si="98"/>
        <v>0</v>
      </c>
      <c r="Q461">
        <f t="shared" si="99"/>
        <v>0</v>
      </c>
    </row>
    <row r="462" spans="1:17" x14ac:dyDescent="0.45">
      <c r="A462">
        <v>2.2749999999999799</v>
      </c>
      <c r="B462">
        <f t="shared" si="95"/>
        <v>2.9992788201055914E-2</v>
      </c>
      <c r="C462">
        <f t="shared" si="96"/>
        <v>0.13000721179894409</v>
      </c>
      <c r="D462">
        <f t="shared" si="97"/>
        <v>8.0001923146385087E-2</v>
      </c>
      <c r="E462">
        <f t="shared" si="94"/>
        <v>8.0005343739715948E-2</v>
      </c>
      <c r="P462">
        <f t="shared" si="98"/>
        <v>0</v>
      </c>
      <c r="Q462">
        <f t="shared" si="99"/>
        <v>0</v>
      </c>
    </row>
    <row r="463" spans="1:17" x14ac:dyDescent="0.45">
      <c r="A463">
        <v>2.2799999999999798</v>
      </c>
      <c r="B463">
        <f t="shared" si="95"/>
        <v>2.9992966261006282E-2</v>
      </c>
      <c r="C463">
        <f t="shared" si="96"/>
        <v>0.13000703373899372</v>
      </c>
      <c r="D463">
        <f t="shared" si="97"/>
        <v>8.0001875663731653E-2</v>
      </c>
      <c r="E463">
        <f t="shared" si="94"/>
        <v>8.0005158290856318E-2</v>
      </c>
      <c r="P463">
        <f t="shared" si="98"/>
        <v>0</v>
      </c>
      <c r="Q463">
        <f t="shared" si="99"/>
        <v>0</v>
      </c>
    </row>
    <row r="464" spans="1:17" x14ac:dyDescent="0.45">
      <c r="A464">
        <v>2.2849999999999802</v>
      </c>
      <c r="B464">
        <f t="shared" si="95"/>
        <v>2.999313992464081E-2</v>
      </c>
      <c r="C464">
        <f t="shared" si="96"/>
        <v>0.13000686007535919</v>
      </c>
      <c r="D464">
        <f t="shared" si="97"/>
        <v>8.0001829353429116E-2</v>
      </c>
      <c r="E464">
        <f t="shared" si="94"/>
        <v>8.000497507739647E-2</v>
      </c>
      <c r="P464">
        <f t="shared" si="98"/>
        <v>0</v>
      </c>
      <c r="Q464">
        <f t="shared" si="99"/>
        <v>0</v>
      </c>
    </row>
    <row r="465" spans="1:17" x14ac:dyDescent="0.45">
      <c r="A465">
        <v>2.2899999999999801</v>
      </c>
      <c r="B465">
        <f t="shared" si="95"/>
        <v>2.9993309300504922E-2</v>
      </c>
      <c r="C465">
        <f t="shared" si="96"/>
        <v>0.13000669069949508</v>
      </c>
      <c r="D465">
        <f t="shared" si="97"/>
        <v>8.0001784186532018E-2</v>
      </c>
      <c r="E465">
        <f t="shared" si="94"/>
        <v>8.0004794232160129E-2</v>
      </c>
      <c r="P465">
        <f t="shared" si="98"/>
        <v>0</v>
      </c>
      <c r="Q465">
        <f t="shared" si="99"/>
        <v>0</v>
      </c>
    </row>
    <row r="466" spans="1:17" x14ac:dyDescent="0.45">
      <c r="A466">
        <v>2.2949999999999799</v>
      </c>
      <c r="B466">
        <f t="shared" si="95"/>
        <v>2.9993474494464045E-2</v>
      </c>
      <c r="C466">
        <f t="shared" si="96"/>
        <v>0.13000652550553596</v>
      </c>
      <c r="D466">
        <f t="shared" si="97"/>
        <v>8.0001740134809596E-2</v>
      </c>
      <c r="E466">
        <f t="shared" si="94"/>
        <v>8.0004615878367019E-2</v>
      </c>
      <c r="P466">
        <f t="shared" si="98"/>
        <v>0</v>
      </c>
      <c r="Q466">
        <f t="shared" si="99"/>
        <v>0</v>
      </c>
    </row>
    <row r="467" spans="1:17" x14ac:dyDescent="0.45">
      <c r="A467">
        <v>2.2999999999999798</v>
      </c>
      <c r="B467">
        <f t="shared" si="95"/>
        <v>2.9993635609769781E-2</v>
      </c>
      <c r="C467">
        <f t="shared" si="96"/>
        <v>0.13000636439023022</v>
      </c>
      <c r="D467">
        <f t="shared" si="97"/>
        <v>8.0001697170728053E-2</v>
      </c>
      <c r="E467">
        <f t="shared" si="94"/>
        <v>8.0004440129938639E-2</v>
      </c>
      <c r="P467">
        <f t="shared" si="98"/>
        <v>0</v>
      </c>
      <c r="Q467">
        <f t="shared" si="99"/>
        <v>0</v>
      </c>
    </row>
    <row r="468" spans="1:17" x14ac:dyDescent="0.45">
      <c r="A468">
        <v>2.3049999999999802</v>
      </c>
      <c r="B468">
        <f t="shared" si="95"/>
        <v>2.9993792747124451E-2</v>
      </c>
      <c r="C468">
        <f t="shared" si="96"/>
        <v>0.13000620725287554</v>
      </c>
      <c r="D468">
        <f t="shared" si="97"/>
        <v>8.0001655267433483E-2</v>
      </c>
      <c r="E468">
        <f t="shared" si="94"/>
        <v>8.0004267091801307E-2</v>
      </c>
      <c r="P468">
        <f t="shared" si="98"/>
        <v>0</v>
      </c>
      <c r="Q468">
        <f t="shared" si="99"/>
        <v>0</v>
      </c>
    </row>
    <row r="469" spans="1:17" x14ac:dyDescent="0.45">
      <c r="A469">
        <v>2.3099999999999801</v>
      </c>
      <c r="B469">
        <f t="shared" si="95"/>
        <v>2.9993946004744018E-2</v>
      </c>
      <c r="C469">
        <f t="shared" si="96"/>
        <v>0.130006053995256</v>
      </c>
      <c r="D469">
        <f t="shared" si="97"/>
        <v>8.0001614398734933E-2</v>
      </c>
      <c r="E469">
        <f t="shared" si="94"/>
        <v>8.0004096860186405E-2</v>
      </c>
      <c r="P469">
        <f t="shared" si="98"/>
        <v>0</v>
      </c>
      <c r="Q469">
        <f t="shared" si="99"/>
        <v>0</v>
      </c>
    </row>
    <row r="470" spans="1:17" x14ac:dyDescent="0.45">
      <c r="A470">
        <v>2.31499999999998</v>
      </c>
      <c r="B470">
        <f t="shared" si="95"/>
        <v>2.9994095478419469E-2</v>
      </c>
      <c r="C470">
        <f t="shared" si="96"/>
        <v>0.13000590452158053</v>
      </c>
      <c r="D470">
        <f t="shared" si="97"/>
        <v>8.0001574539088141E-2</v>
      </c>
      <c r="E470">
        <f t="shared" si="94"/>
        <v>8.0003929522927356E-2</v>
      </c>
      <c r="P470">
        <f t="shared" si="98"/>
        <v>0</v>
      </c>
      <c r="Q470">
        <f t="shared" si="99"/>
        <v>0</v>
      </c>
    </row>
    <row r="471" spans="1:17" x14ac:dyDescent="0.45">
      <c r="A471">
        <v>2.3199999999999799</v>
      </c>
      <c r="B471">
        <f t="shared" si="95"/>
        <v>2.9994241261576723E-2</v>
      </c>
      <c r="C471">
        <f t="shared" si="96"/>
        <v>0.13000575873842329</v>
      </c>
      <c r="D471">
        <f t="shared" si="97"/>
        <v>8.0001535663579537E-2</v>
      </c>
      <c r="E471">
        <f t="shared" si="94"/>
        <v>8.0003765159753326E-2</v>
      </c>
      <c r="P471">
        <f t="shared" si="98"/>
        <v>0</v>
      </c>
      <c r="Q471">
        <f t="shared" si="99"/>
        <v>0</v>
      </c>
    </row>
    <row r="472" spans="1:17" x14ac:dyDescent="0.45">
      <c r="A472">
        <v>2.3249999999999802</v>
      </c>
      <c r="B472">
        <f t="shared" si="95"/>
        <v>2.9994383445334991E-2</v>
      </c>
      <c r="C472">
        <f t="shared" si="96"/>
        <v>0.13000561655466503</v>
      </c>
      <c r="D472">
        <f t="shared" si="97"/>
        <v>8.0001497747910669E-2</v>
      </c>
      <c r="E472">
        <f t="shared" si="94"/>
        <v>8.000360384257918E-2</v>
      </c>
      <c r="P472">
        <f t="shared" si="98"/>
        <v>0</v>
      </c>
      <c r="Q472">
        <f t="shared" si="99"/>
        <v>0</v>
      </c>
    </row>
    <row r="473" spans="1:17" x14ac:dyDescent="0.45">
      <c r="A473">
        <v>2.3299999999999801</v>
      </c>
      <c r="B473">
        <f t="shared" si="95"/>
        <v>2.9994522118563779E-2</v>
      </c>
      <c r="C473">
        <f t="shared" si="96"/>
        <v>0.13000547788143624</v>
      </c>
      <c r="D473">
        <f t="shared" si="97"/>
        <v>8.0001460768382993E-2</v>
      </c>
      <c r="E473">
        <f t="shared" si="94"/>
        <v>8.0003445635791662E-2</v>
      </c>
      <c r="P473">
        <f t="shared" si="98"/>
        <v>0</v>
      </c>
      <c r="Q473">
        <f t="shared" si="99"/>
        <v>0</v>
      </c>
    </row>
    <row r="474" spans="1:17" x14ac:dyDescent="0.45">
      <c r="A474">
        <v>2.33499999999998</v>
      </c>
      <c r="B474">
        <f t="shared" si="95"/>
        <v>2.9994657367938327E-2</v>
      </c>
      <c r="C474">
        <f t="shared" si="96"/>
        <v>0.13000534263206168</v>
      </c>
      <c r="D474">
        <f t="shared" si="97"/>
        <v>8.0001424701883109E-2</v>
      </c>
      <c r="E474">
        <f t="shared" si="94"/>
        <v>8.0003290596531579E-2</v>
      </c>
      <c r="P474">
        <f t="shared" si="98"/>
        <v>0</v>
      </c>
      <c r="Q474">
        <f t="shared" si="99"/>
        <v>0</v>
      </c>
    </row>
    <row r="475" spans="1:17" x14ac:dyDescent="0.45">
      <c r="A475">
        <v>2.3399999999999799</v>
      </c>
      <c r="B475">
        <f t="shared" si="95"/>
        <v>2.9994789277993941E-2</v>
      </c>
      <c r="C475">
        <f t="shared" si="96"/>
        <v>0.13000521072200605</v>
      </c>
      <c r="D475">
        <f t="shared" si="97"/>
        <v>8.0001389525868286E-2</v>
      </c>
      <c r="E475">
        <f t="shared" si="94"/>
        <v>8.0003138774971727E-2</v>
      </c>
      <c r="P475">
        <f t="shared" si="98"/>
        <v>0</v>
      </c>
      <c r="Q475">
        <f t="shared" si="99"/>
        <v>0</v>
      </c>
    </row>
    <row r="476" spans="1:17" x14ac:dyDescent="0.45">
      <c r="A476">
        <v>2.3449999999999802</v>
      </c>
      <c r="B476">
        <f t="shared" si="95"/>
        <v>2.9994917931178658E-2</v>
      </c>
      <c r="C476">
        <f t="shared" si="96"/>
        <v>0.13000508206882133</v>
      </c>
      <c r="D476">
        <f t="shared" si="97"/>
        <v>8.000135521835236E-2</v>
      </c>
      <c r="E476">
        <f t="shared" si="94"/>
        <v>8.000299021459055E-2</v>
      </c>
      <c r="P476">
        <f t="shared" si="98"/>
        <v>0</v>
      </c>
      <c r="Q476">
        <f t="shared" si="99"/>
        <v>0</v>
      </c>
    </row>
    <row r="477" spans="1:17" x14ac:dyDescent="0.45">
      <c r="A477">
        <v>2.3499999999999801</v>
      </c>
      <c r="B477">
        <f t="shared" si="95"/>
        <v>2.9995043407904931E-2</v>
      </c>
      <c r="C477">
        <f t="shared" si="96"/>
        <v>0.13000495659209507</v>
      </c>
      <c r="D477">
        <f t="shared" si="97"/>
        <v>8.0001321757892013E-2</v>
      </c>
      <c r="E477">
        <f t="shared" si="94"/>
        <v>8.0002844952441171E-2</v>
      </c>
      <c r="P477">
        <f t="shared" si="98"/>
        <v>0</v>
      </c>
      <c r="Q477">
        <f t="shared" si="99"/>
        <v>0</v>
      </c>
    </row>
    <row r="478" spans="1:17" x14ac:dyDescent="0.45">
      <c r="A478">
        <v>2.35499999999998</v>
      </c>
      <c r="B478">
        <f t="shared" si="95"/>
        <v>2.9995165786599803E-2</v>
      </c>
      <c r="C478">
        <f t="shared" si="96"/>
        <v>0.1300048342134002</v>
      </c>
      <c r="D478">
        <f t="shared" si="97"/>
        <v>8.0001289123573391E-2</v>
      </c>
      <c r="E478">
        <f t="shared" si="94"/>
        <v>8.0002703019415894E-2</v>
      </c>
      <c r="P478">
        <f t="shared" si="98"/>
        <v>0</v>
      </c>
      <c r="Q478">
        <f t="shared" si="99"/>
        <v>0</v>
      </c>
    </row>
    <row r="479" spans="1:17" x14ac:dyDescent="0.45">
      <c r="A479">
        <v>2.3599999999999799</v>
      </c>
      <c r="B479">
        <f t="shared" si="95"/>
        <v>2.9995285143753922E-2</v>
      </c>
      <c r="C479">
        <f t="shared" si="96"/>
        <v>0.1300047148562461</v>
      </c>
      <c r="D479">
        <f t="shared" si="97"/>
        <v>8.0001257294998948E-2</v>
      </c>
      <c r="E479">
        <f t="shared" si="94"/>
        <v>8.000256444050588E-2</v>
      </c>
      <c r="P479">
        <f t="shared" si="98"/>
        <v>0</v>
      </c>
      <c r="Q479">
        <f t="shared" si="99"/>
        <v>0</v>
      </c>
    </row>
    <row r="480" spans="1:17" x14ac:dyDescent="0.45">
      <c r="A480">
        <v>2.3649999999999798</v>
      </c>
      <c r="B480">
        <f t="shared" si="95"/>
        <v>2.9995401553969417E-2</v>
      </c>
      <c r="C480">
        <f t="shared" si="96"/>
        <v>0.13000459844603057</v>
      </c>
      <c r="D480">
        <f t="shared" si="97"/>
        <v>8.0001226252274821E-2</v>
      </c>
      <c r="E480">
        <f t="shared" si="94"/>
        <v>8.0002429235055933E-2</v>
      </c>
      <c r="P480">
        <f t="shared" si="98"/>
        <v>0</v>
      </c>
      <c r="Q480">
        <f t="shared" si="99"/>
        <v>0</v>
      </c>
    </row>
    <row r="481" spans="1:17" x14ac:dyDescent="0.45">
      <c r="A481">
        <v>2.3699999999999801</v>
      </c>
      <c r="B481">
        <f t="shared" si="95"/>
        <v>2.9995515090006447E-2</v>
      </c>
      <c r="C481">
        <f t="shared" si="96"/>
        <v>0.13000448490999356</v>
      </c>
      <c r="D481">
        <f t="shared" si="97"/>
        <v>8.0001195975998279E-2</v>
      </c>
      <c r="E481">
        <f t="shared" si="94"/>
        <v>8.0002297417014395E-2</v>
      </c>
      <c r="P481">
        <f t="shared" si="98"/>
        <v>0</v>
      </c>
      <c r="Q481">
        <f t="shared" si="99"/>
        <v>0</v>
      </c>
    </row>
    <row r="482" spans="1:17" x14ac:dyDescent="0.45">
      <c r="A482">
        <v>2.37499999999998</v>
      </c>
      <c r="B482">
        <f t="shared" si="95"/>
        <v>2.9995625822828734E-2</v>
      </c>
      <c r="C482">
        <f t="shared" si="96"/>
        <v>0.13000437417717126</v>
      </c>
      <c r="D482">
        <f t="shared" si="97"/>
        <v>8.000116644724567E-2</v>
      </c>
      <c r="E482">
        <f t="shared" si="94"/>
        <v>8.0002168995177869E-2</v>
      </c>
      <c r="P482">
        <f t="shared" si="98"/>
        <v>0</v>
      </c>
      <c r="Q482">
        <f t="shared" si="99"/>
        <v>0</v>
      </c>
    </row>
    <row r="483" spans="1:17" x14ac:dyDescent="0.45">
      <c r="A483">
        <v>2.3799999999999799</v>
      </c>
      <c r="B483">
        <f t="shared" si="95"/>
        <v>2.9995733821647899E-2</v>
      </c>
      <c r="C483">
        <f t="shared" si="96"/>
        <v>0.13000426617835209</v>
      </c>
      <c r="D483">
        <f t="shared" si="97"/>
        <v>8.0001137647560561E-2</v>
      </c>
      <c r="E483">
        <f t="shared" si="94"/>
        <v>8.0002043973430886E-2</v>
      </c>
      <c r="P483">
        <f t="shared" si="98"/>
        <v>0</v>
      </c>
      <c r="Q483">
        <f t="shared" si="99"/>
        <v>0</v>
      </c>
    </row>
    <row r="484" spans="1:17" x14ac:dyDescent="0.45">
      <c r="A484">
        <v>2.3849999999999798</v>
      </c>
      <c r="B484">
        <f t="shared" si="95"/>
        <v>2.9995839153966711E-2</v>
      </c>
      <c r="C484">
        <f t="shared" si="96"/>
        <v>0.13000416084603328</v>
      </c>
      <c r="D484">
        <f t="shared" si="97"/>
        <v>8.0001109558942213E-2</v>
      </c>
      <c r="E484">
        <f t="shared" si="94"/>
        <v>8.0001922350980373E-2</v>
      </c>
      <c r="P484">
        <f t="shared" si="98"/>
        <v>0</v>
      </c>
      <c r="Q484">
        <f t="shared" si="99"/>
        <v>0</v>
      </c>
    </row>
    <row r="485" spans="1:17" x14ac:dyDescent="0.45">
      <c r="A485">
        <v>2.3899999999999801</v>
      </c>
      <c r="B485">
        <f t="shared" si="95"/>
        <v>2.9995941885621311E-2</v>
      </c>
      <c r="C485">
        <f t="shared" si="96"/>
        <v>0.13000405811437871</v>
      </c>
      <c r="D485">
        <f t="shared" si="97"/>
        <v>8.0001082163834322E-2</v>
      </c>
      <c r="E485">
        <f t="shared" si="94"/>
        <v>8.0001804122584744E-2</v>
      </c>
      <c r="P485">
        <f t="shared" si="98"/>
        <v>0</v>
      </c>
      <c r="Q485">
        <f t="shared" si="99"/>
        <v>0</v>
      </c>
    </row>
    <row r="486" spans="1:17" x14ac:dyDescent="0.45">
      <c r="A486">
        <v>2.39499999999998</v>
      </c>
      <c r="B486">
        <f t="shared" si="95"/>
        <v>2.9996042080822322E-2</v>
      </c>
      <c r="C486">
        <f t="shared" si="96"/>
        <v>0.13000395791917768</v>
      </c>
      <c r="D486">
        <f t="shared" si="97"/>
        <v>8.0001055445114044E-2</v>
      </c>
      <c r="E486">
        <f t="shared" si="94"/>
        <v>8.0001689278777863E-2</v>
      </c>
      <c r="P486">
        <f t="shared" si="98"/>
        <v>0</v>
      </c>
      <c r="Q486">
        <f t="shared" si="99"/>
        <v>0</v>
      </c>
    </row>
    <row r="487" spans="1:17" x14ac:dyDescent="0.45">
      <c r="A487">
        <v>2.3999999999999799</v>
      </c>
      <c r="B487">
        <f t="shared" si="95"/>
        <v>2.9996139802194996E-2</v>
      </c>
      <c r="C487">
        <f t="shared" si="96"/>
        <v>0.13000386019780502</v>
      </c>
      <c r="D487">
        <f t="shared" si="97"/>
        <v>8.0001029386081335E-2</v>
      </c>
      <c r="E487">
        <f t="shared" si="94"/>
        <v>8.0001577806087534E-2</v>
      </c>
      <c r="P487">
        <f t="shared" si="98"/>
        <v>0</v>
      </c>
      <c r="Q487">
        <f t="shared" si="99"/>
        <v>0</v>
      </c>
    </row>
    <row r="488" spans="1:17" x14ac:dyDescent="0.45">
      <c r="A488">
        <v>2.4049999999999798</v>
      </c>
      <c r="B488">
        <f t="shared" si="95"/>
        <v>2.9996235110818392E-2</v>
      </c>
      <c r="C488">
        <f t="shared" si="96"/>
        <v>0.13000376488918161</v>
      </c>
      <c r="D488">
        <f t="shared" si="97"/>
        <v>8.0001003970448431E-2</v>
      </c>
      <c r="E488">
        <f t="shared" si="94"/>
        <v>8.0001469687248639E-2</v>
      </c>
      <c r="P488">
        <f t="shared" si="98"/>
        <v>0</v>
      </c>
      <c r="Q488">
        <f t="shared" si="99"/>
        <v>0</v>
      </c>
    </row>
    <row r="489" spans="1:17" x14ac:dyDescent="0.45">
      <c r="A489">
        <v>2.4099999999999802</v>
      </c>
      <c r="B489">
        <f t="shared" si="95"/>
        <v>2.9996328066263497E-2</v>
      </c>
      <c r="C489">
        <f t="shared" si="96"/>
        <v>0.13000367193373652</v>
      </c>
      <c r="D489">
        <f t="shared" si="97"/>
        <v>8.0000979182329734E-2</v>
      </c>
      <c r="E489">
        <f t="shared" si="94"/>
        <v>8.0001364901410979E-2</v>
      </c>
      <c r="P489">
        <f t="shared" si="98"/>
        <v>0</v>
      </c>
      <c r="Q489">
        <f t="shared" si="99"/>
        <v>0</v>
      </c>
    </row>
    <row r="490" spans="1:17" x14ac:dyDescent="0.45">
      <c r="A490">
        <v>2.4149999999999801</v>
      </c>
      <c r="B490">
        <f t="shared" si="95"/>
        <v>2.9996418726630475E-2</v>
      </c>
      <c r="C490">
        <f t="shared" si="96"/>
        <v>0.13000358127336953</v>
      </c>
      <c r="D490">
        <f t="shared" si="97"/>
        <v>8.0000955006231875E-2</v>
      </c>
      <c r="E490">
        <f t="shared" si="94"/>
        <v>8.0001263424341565E-2</v>
      </c>
      <c r="P490">
        <f t="shared" si="98"/>
        <v>0</v>
      </c>
      <c r="Q490">
        <f t="shared" si="99"/>
        <v>0</v>
      </c>
    </row>
    <row r="491" spans="1:17" x14ac:dyDescent="0.45">
      <c r="A491">
        <v>2.4199999999999799</v>
      </c>
      <c r="B491">
        <f t="shared" si="95"/>
        <v>2.9996507148585011E-2</v>
      </c>
      <c r="C491">
        <f t="shared" si="96"/>
        <v>0.13000349285141499</v>
      </c>
      <c r="D491">
        <f t="shared" si="97"/>
        <v>8.0000931427043995E-2</v>
      </c>
      <c r="E491">
        <f t="shared" si="94"/>
        <v>8.0001165228621648E-2</v>
      </c>
      <c r="P491">
        <f t="shared" si="98"/>
        <v>0</v>
      </c>
      <c r="Q491">
        <f t="shared" si="99"/>
        <v>0</v>
      </c>
    </row>
    <row r="492" spans="1:17" x14ac:dyDescent="0.45">
      <c r="A492">
        <v>2.4249999999999798</v>
      </c>
      <c r="B492">
        <f t="shared" si="95"/>
        <v>2.9996593387393716E-2</v>
      </c>
      <c r="C492">
        <f t="shared" si="96"/>
        <v>0.13000340661260629</v>
      </c>
      <c r="D492">
        <f t="shared" si="97"/>
        <v>8.0000908430028342E-2</v>
      </c>
      <c r="E492">
        <f t="shared" si="94"/>
        <v>8.0001070283838266E-2</v>
      </c>
      <c r="P492">
        <f t="shared" si="98"/>
        <v>0</v>
      </c>
      <c r="Q492">
        <f t="shared" si="99"/>
        <v>0</v>
      </c>
    </row>
    <row r="493" spans="1:17" x14ac:dyDescent="0.45">
      <c r="A493">
        <v>2.4299999999999802</v>
      </c>
      <c r="B493">
        <f t="shared" si="95"/>
        <v>2.9996677496958654E-2</v>
      </c>
      <c r="C493">
        <f t="shared" si="96"/>
        <v>0.13000332250304136</v>
      </c>
      <c r="D493">
        <f t="shared" si="97"/>
        <v>8.0000886000811025E-2</v>
      </c>
      <c r="E493">
        <f t="shared" si="94"/>
        <v>8.000097855677038E-2</v>
      </c>
      <c r="P493">
        <f t="shared" si="98"/>
        <v>0</v>
      </c>
      <c r="Q493">
        <f t="shared" si="99"/>
        <v>0</v>
      </c>
    </row>
    <row r="494" spans="1:17" x14ac:dyDescent="0.45">
      <c r="A494">
        <v>2.4349999999999801</v>
      </c>
      <c r="B494">
        <f t="shared" si="95"/>
        <v>2.9996759529851036E-2</v>
      </c>
      <c r="C494">
        <f t="shared" si="96"/>
        <v>0.13000324047014897</v>
      </c>
      <c r="D494">
        <f t="shared" si="97"/>
        <v>8.0000864125373064E-2</v>
      </c>
      <c r="E494">
        <f t="shared" si="94"/>
        <v>8.0000890011569736E-2</v>
      </c>
      <c r="P494">
        <f t="shared" si="98"/>
        <v>0</v>
      </c>
      <c r="Q494">
        <f t="shared" si="99"/>
        <v>0</v>
      </c>
    </row>
    <row r="495" spans="1:17" x14ac:dyDescent="0.45">
      <c r="A495">
        <v>2.43999999999998</v>
      </c>
      <c r="B495">
        <f t="shared" si="95"/>
        <v>2.9996839537344083E-2</v>
      </c>
      <c r="C495">
        <f t="shared" si="96"/>
        <v>0.13000316046265592</v>
      </c>
      <c r="D495">
        <f t="shared" si="97"/>
        <v>8.0000842790041576E-2</v>
      </c>
      <c r="E495">
        <f t="shared" si="94"/>
        <v>8.0000804609936291E-2</v>
      </c>
      <c r="P495">
        <f t="shared" si="98"/>
        <v>0</v>
      </c>
      <c r="Q495">
        <f t="shared" si="99"/>
        <v>0</v>
      </c>
    </row>
    <row r="496" spans="1:17" x14ac:dyDescent="0.45">
      <c r="A496">
        <v>2.4449999999999799</v>
      </c>
      <c r="B496">
        <f t="shared" si="95"/>
        <v>2.9996917569445086E-2</v>
      </c>
      <c r="C496">
        <f t="shared" si="96"/>
        <v>0.13000308243055492</v>
      </c>
      <c r="D496">
        <f t="shared" si="97"/>
        <v>8.0000821981481313E-2</v>
      </c>
      <c r="E496">
        <f t="shared" si="94"/>
        <v>8.0000722311288325E-2</v>
      </c>
      <c r="P496">
        <f t="shared" si="98"/>
        <v>0</v>
      </c>
      <c r="Q496">
        <f t="shared" si="99"/>
        <v>0</v>
      </c>
    </row>
    <row r="497" spans="1:17" x14ac:dyDescent="0.45">
      <c r="A497">
        <v>2.4499999999999802</v>
      </c>
      <c r="B497">
        <f t="shared" si="95"/>
        <v>2.9996993674926656E-2</v>
      </c>
      <c r="C497">
        <f t="shared" si="96"/>
        <v>0.13000300632507333</v>
      </c>
      <c r="D497">
        <f t="shared" si="97"/>
        <v>8.0000801686686232E-2</v>
      </c>
      <c r="E497">
        <f t="shared" si="94"/>
        <v>8.0000643072927341E-2</v>
      </c>
      <c r="P497">
        <f t="shared" si="98"/>
        <v>0</v>
      </c>
      <c r="Q497">
        <f t="shared" si="99"/>
        <v>0</v>
      </c>
    </row>
    <row r="498" spans="1:17" x14ac:dyDescent="0.45">
      <c r="A498">
        <v>2.4549999999999801</v>
      </c>
      <c r="B498">
        <f t="shared" si="95"/>
        <v>2.9997067901357186E-2</v>
      </c>
      <c r="C498">
        <f t="shared" si="96"/>
        <v>0.13000293209864283</v>
      </c>
      <c r="D498">
        <f t="shared" si="97"/>
        <v>8.0000781892971412E-2</v>
      </c>
      <c r="E498">
        <f t="shared" si="94"/>
        <v>8.0000566850197616E-2</v>
      </c>
      <c r="P498">
        <f t="shared" si="98"/>
        <v>0</v>
      </c>
      <c r="Q498">
        <f t="shared" si="99"/>
        <v>0</v>
      </c>
    </row>
    <row r="499" spans="1:17" x14ac:dyDescent="0.45">
      <c r="A499">
        <v>2.45999999999998</v>
      </c>
      <c r="B499">
        <f t="shared" si="95"/>
        <v>2.999714029513062E-2</v>
      </c>
      <c r="C499">
        <f t="shared" si="96"/>
        <v>0.13000285970486938</v>
      </c>
      <c r="D499">
        <f t="shared" si="97"/>
        <v>8.0000762587965166E-2</v>
      </c>
      <c r="E499">
        <f t="shared" si="94"/>
        <v>8.0000493596640604E-2</v>
      </c>
      <c r="P499">
        <f t="shared" si="98"/>
        <v>0</v>
      </c>
      <c r="Q499">
        <f t="shared" si="99"/>
        <v>0</v>
      </c>
    </row>
    <row r="500" spans="1:17" x14ac:dyDescent="0.45">
      <c r="A500">
        <v>2.4649999999999799</v>
      </c>
      <c r="B500">
        <f t="shared" si="95"/>
        <v>2.9997210901495416E-2</v>
      </c>
      <c r="C500">
        <f t="shared" si="96"/>
        <v>0.1300027890985046</v>
      </c>
      <c r="D500">
        <f t="shared" si="97"/>
        <v>8.0000743759601228E-2</v>
      </c>
      <c r="E500">
        <f t="shared" si="94"/>
        <v>8.0000423264144208E-2</v>
      </c>
      <c r="P500">
        <f t="shared" si="98"/>
        <v>0</v>
      </c>
      <c r="Q500">
        <f t="shared" si="99"/>
        <v>0</v>
      </c>
    </row>
    <row r="501" spans="1:17" x14ac:dyDescent="0.45">
      <c r="A501">
        <v>2.4699999999999802</v>
      </c>
      <c r="B501">
        <f t="shared" si="95"/>
        <v>2.9997279764582857E-2</v>
      </c>
      <c r="C501">
        <f t="shared" si="96"/>
        <v>0.13000272023541715</v>
      </c>
      <c r="D501">
        <f t="shared" si="97"/>
        <v>8.0000725396111236E-2</v>
      </c>
      <c r="E501">
        <f t="shared" si="94"/>
        <v>8.0000355803086953E-2</v>
      </c>
      <c r="P501">
        <f t="shared" si="98"/>
        <v>0</v>
      </c>
      <c r="Q501">
        <f t="shared" si="99"/>
        <v>0</v>
      </c>
    </row>
    <row r="502" spans="1:17" x14ac:dyDescent="0.45">
      <c r="A502">
        <v>2.4749999999999801</v>
      </c>
      <c r="B502">
        <f t="shared" si="95"/>
        <v>2.9997346927434609E-2</v>
      </c>
      <c r="C502">
        <f t="shared" si="96"/>
        <v>0.13000265307256539</v>
      </c>
      <c r="D502">
        <f t="shared" si="97"/>
        <v>8.0000707486017439E-2</v>
      </c>
      <c r="E502">
        <f t="shared" si="94"/>
        <v>8.0000291162477033E-2</v>
      </c>
      <c r="P502">
        <f t="shared" si="98"/>
        <v>0</v>
      </c>
      <c r="Q502">
        <f t="shared" si="99"/>
        <v>0</v>
      </c>
    </row>
    <row r="503" spans="1:17" x14ac:dyDescent="0.45">
      <c r="A503">
        <v>2.47999999999998</v>
      </c>
      <c r="B503">
        <f t="shared" si="95"/>
        <v>2.9997412432029649E-2</v>
      </c>
      <c r="C503">
        <f t="shared" si="96"/>
        <v>0.13000258756797034</v>
      </c>
      <c r="D503">
        <f t="shared" si="97"/>
        <v>8.0000690018125431E-2</v>
      </c>
      <c r="E503">
        <f t="shared" si="94"/>
        <v>8.000022929008653E-2</v>
      </c>
      <c r="P503">
        <f t="shared" si="98"/>
        <v>0</v>
      </c>
      <c r="Q503">
        <f t="shared" si="99"/>
        <v>0</v>
      </c>
    </row>
    <row r="504" spans="1:17" x14ac:dyDescent="0.45">
      <c r="A504">
        <v>2.4849999999999701</v>
      </c>
      <c r="B504">
        <f t="shared" si="95"/>
        <v>2.9997476319310462E-2</v>
      </c>
      <c r="C504">
        <f t="shared" si="96"/>
        <v>0.13000252368068954</v>
      </c>
      <c r="D504">
        <f t="shared" si="97"/>
        <v>8.000067298151721E-2</v>
      </c>
      <c r="E504">
        <f t="shared" si="94"/>
        <v>8.0000170132580595E-2</v>
      </c>
      <c r="P504">
        <f t="shared" si="98"/>
        <v>0</v>
      </c>
      <c r="Q504">
        <f t="shared" si="99"/>
        <v>0</v>
      </c>
    </row>
    <row r="505" spans="1:17" x14ac:dyDescent="0.45">
      <c r="A505">
        <v>2.48999999999997</v>
      </c>
      <c r="B505">
        <f t="shared" si="95"/>
        <v>2.9997538629208703E-2</v>
      </c>
      <c r="C505">
        <f t="shared" si="96"/>
        <v>0.1300024613707913</v>
      </c>
      <c r="D505">
        <f t="shared" si="97"/>
        <v>8.0000656365544348E-2</v>
      </c>
      <c r="E505">
        <f t="shared" si="94"/>
        <v>8.0000113635641829E-2</v>
      </c>
      <c r="P505">
        <f t="shared" si="98"/>
        <v>0</v>
      </c>
      <c r="Q505">
        <f t="shared" si="99"/>
        <v>0</v>
      </c>
    </row>
    <row r="506" spans="1:17" x14ac:dyDescent="0.45">
      <c r="A506">
        <v>2.4949999999999699</v>
      </c>
      <c r="B506">
        <f t="shared" si="95"/>
        <v>2.9997599400670066E-2</v>
      </c>
      <c r="C506">
        <f t="shared" si="96"/>
        <v>0.13000240059932994</v>
      </c>
      <c r="D506">
        <f t="shared" si="97"/>
        <v>8.0000640159821321E-2</v>
      </c>
      <c r="E506">
        <f t="shared" si="94"/>
        <v>8.0000059744089941E-2</v>
      </c>
      <c r="P506">
        <f t="shared" si="98"/>
        <v>0</v>
      </c>
      <c r="Q506">
        <f t="shared" si="99"/>
        <v>0</v>
      </c>
    </row>
    <row r="507" spans="1:17" x14ac:dyDescent="0.45">
      <c r="A507">
        <v>2.4999999999999698</v>
      </c>
      <c r="B507">
        <f t="shared" si="95"/>
        <v>2.9997658671678709E-2</v>
      </c>
      <c r="C507">
        <f t="shared" si="96"/>
        <v>0.13000234132832128</v>
      </c>
      <c r="D507">
        <f t="shared" si="97"/>
        <v>8.0000624354219008E-2</v>
      </c>
      <c r="E507">
        <f t="shared" si="94"/>
        <v>8.0000008401996656E-2</v>
      </c>
      <c r="P507">
        <f t="shared" si="98"/>
        <v>0</v>
      </c>
      <c r="Q507">
        <f t="shared" si="99"/>
        <v>0</v>
      </c>
    </row>
    <row r="508" spans="1:17" x14ac:dyDescent="0.45">
      <c r="A508">
        <v>2.5049999999999701</v>
      </c>
      <c r="B508">
        <f t="shared" si="95"/>
        <v>2.9997716479280928E-2</v>
      </c>
      <c r="C508">
        <f t="shared" si="96"/>
        <v>0.13000228352071908</v>
      </c>
      <c r="D508">
        <f t="shared" si="97"/>
        <v>8.0000608938858422E-2</v>
      </c>
      <c r="E508">
        <f t="shared" si="94"/>
        <v>7.9999959552796013E-2</v>
      </c>
      <c r="P508">
        <f t="shared" si="98"/>
        <v>0</v>
      </c>
      <c r="Q508">
        <f t="shared" si="99"/>
        <v>0</v>
      </c>
    </row>
    <row r="509" spans="1:17" x14ac:dyDescent="0.45">
      <c r="A509">
        <v>2.50999999999997</v>
      </c>
      <c r="B509">
        <f t="shared" si="95"/>
        <v>2.9997772859608376E-2</v>
      </c>
      <c r="C509">
        <f t="shared" si="96"/>
        <v>0.13000222714039161</v>
      </c>
      <c r="D509">
        <f t="shared" si="97"/>
        <v>8.0000593904104439E-2</v>
      </c>
      <c r="E509">
        <f t="shared" si="94"/>
        <v>7.9999913139390103E-2</v>
      </c>
      <c r="P509">
        <f t="shared" si="98"/>
        <v>0</v>
      </c>
      <c r="Q509">
        <f t="shared" si="99"/>
        <v>0</v>
      </c>
    </row>
    <row r="510" spans="1:17" x14ac:dyDescent="0.45">
      <c r="A510">
        <v>2.5149999999999699</v>
      </c>
      <c r="B510">
        <f t="shared" si="95"/>
        <v>2.9997827847900574E-2</v>
      </c>
      <c r="C510">
        <f t="shared" si="96"/>
        <v>0.13000217215209942</v>
      </c>
      <c r="D510">
        <f t="shared" si="97"/>
        <v>8.0000579240559852E-2</v>
      </c>
      <c r="E510">
        <f t="shared" si="94"/>
        <v>7.9999869104250484E-2</v>
      </c>
      <c r="P510">
        <f t="shared" si="98"/>
        <v>0</v>
      </c>
      <c r="Q510">
        <f t="shared" si="99"/>
        <v>0</v>
      </c>
    </row>
    <row r="511" spans="1:17" x14ac:dyDescent="0.45">
      <c r="A511">
        <v>2.5199999999999698</v>
      </c>
      <c r="B511">
        <f t="shared" si="95"/>
        <v>2.9997881478526986E-2</v>
      </c>
      <c r="C511">
        <f t="shared" si="96"/>
        <v>0.13000211852147303</v>
      </c>
      <c r="D511">
        <f t="shared" si="97"/>
        <v>8.0000564939059465E-2</v>
      </c>
      <c r="E511">
        <f t="shared" si="94"/>
        <v>7.9999827389514971E-2</v>
      </c>
      <c r="P511">
        <f t="shared" si="98"/>
        <v>0</v>
      </c>
      <c r="Q511">
        <f t="shared" si="99"/>
        <v>0</v>
      </c>
    </row>
    <row r="512" spans="1:17" x14ac:dyDescent="0.45">
      <c r="A512">
        <v>2.5249999999999702</v>
      </c>
      <c r="B512">
        <f t="shared" si="95"/>
        <v>2.9997933785008535E-2</v>
      </c>
      <c r="C512">
        <f t="shared" si="96"/>
        <v>0.13000206621499147</v>
      </c>
      <c r="D512">
        <f t="shared" si="97"/>
        <v>8.0000550990664387E-2</v>
      </c>
      <c r="E512">
        <f t="shared" si="94"/>
        <v>7.9999787937080444E-2</v>
      </c>
      <c r="P512">
        <f t="shared" si="98"/>
        <v>0</v>
      </c>
      <c r="Q512">
        <f t="shared" si="99"/>
        <v>0</v>
      </c>
    </row>
    <row r="513" spans="1:17" x14ac:dyDescent="0.45">
      <c r="A513">
        <v>2.5299999999999701</v>
      </c>
      <c r="B513">
        <f t="shared" si="95"/>
        <v>2.9997984800038444E-2</v>
      </c>
      <c r="C513">
        <f t="shared" si="96"/>
        <v>0.13000201519996157</v>
      </c>
      <c r="D513">
        <f t="shared" si="97"/>
        <v>8.0000537386656412E-2</v>
      </c>
      <c r="E513">
        <f t="shared" si="94"/>
        <v>7.9999750688691182E-2</v>
      </c>
      <c r="P513">
        <f t="shared" si="98"/>
        <v>0</v>
      </c>
      <c r="Q513">
        <f t="shared" si="99"/>
        <v>0</v>
      </c>
    </row>
    <row r="514" spans="1:17" x14ac:dyDescent="0.45">
      <c r="A514">
        <v>2.5349999999999699</v>
      </c>
      <c r="B514">
        <f t="shared" si="95"/>
        <v>2.9998034555502762E-2</v>
      </c>
      <c r="C514">
        <f t="shared" si="96"/>
        <v>0.13000196544449724</v>
      </c>
      <c r="D514">
        <f t="shared" si="97"/>
        <v>8.000052411853259E-2</v>
      </c>
      <c r="E514">
        <f t="shared" si="94"/>
        <v>7.9999715586023243E-2</v>
      </c>
      <c r="P514">
        <f t="shared" si="98"/>
        <v>0</v>
      </c>
      <c r="Q514">
        <f t="shared" si="99"/>
        <v>0</v>
      </c>
    </row>
    <row r="515" spans="1:17" x14ac:dyDescent="0.45">
      <c r="A515">
        <v>2.5399999999999698</v>
      </c>
      <c r="B515">
        <f t="shared" si="95"/>
        <v>2.9998083082500307E-2</v>
      </c>
      <c r="C515">
        <f t="shared" si="96"/>
        <v>0.13000191691749968</v>
      </c>
      <c r="D515">
        <f t="shared" si="97"/>
        <v>8.0000511177999917E-2</v>
      </c>
      <c r="E515">
        <f t="shared" si="94"/>
        <v>7.9999682570764799E-2</v>
      </c>
      <c r="P515">
        <f t="shared" si="98"/>
        <v>0</v>
      </c>
      <c r="Q515">
        <f t="shared" si="99"/>
        <v>0</v>
      </c>
    </row>
    <row r="516" spans="1:17" x14ac:dyDescent="0.45">
      <c r="A516">
        <v>2.5449999999999702</v>
      </c>
      <c r="B516">
        <f t="shared" si="95"/>
        <v>2.9998130411362012E-2</v>
      </c>
      <c r="C516">
        <f t="shared" si="96"/>
        <v>0.13000186958863799</v>
      </c>
      <c r="D516">
        <f t="shared" si="97"/>
        <v>8.0000498556970126E-2</v>
      </c>
      <c r="E516">
        <f t="shared" si="94"/>
        <v>7.9999651584692508E-2</v>
      </c>
      <c r="P516">
        <f t="shared" si="98"/>
        <v>0</v>
      </c>
      <c r="Q516">
        <f t="shared" si="99"/>
        <v>0</v>
      </c>
    </row>
    <row r="517" spans="1:17" x14ac:dyDescent="0.45">
      <c r="A517">
        <v>2.5499999999999701</v>
      </c>
      <c r="B517">
        <f t="shared" si="95"/>
        <v>2.9998176571669949E-2</v>
      </c>
      <c r="C517">
        <f t="shared" si="96"/>
        <v>0.13000182342833005</v>
      </c>
      <c r="D517">
        <f t="shared" si="97"/>
        <v>8.0000486247554681E-2</v>
      </c>
      <c r="E517">
        <f t="shared" si="94"/>
        <v>7.9999622569743994E-2</v>
      </c>
      <c r="P517">
        <f t="shared" si="98"/>
        <v>0</v>
      </c>
      <c r="Q517">
        <f t="shared" si="99"/>
        <v>0</v>
      </c>
    </row>
    <row r="518" spans="1:17" x14ac:dyDescent="0.45">
      <c r="A518">
        <v>2.55499999999997</v>
      </c>
      <c r="B518">
        <f t="shared" si="95"/>
        <v>2.9998221592275831E-2</v>
      </c>
      <c r="C518">
        <f t="shared" si="96"/>
        <v>0.13000177840772417</v>
      </c>
      <c r="D518">
        <f t="shared" si="97"/>
        <v>8.0000474242059777E-2</v>
      </c>
      <c r="E518">
        <f t="shared" si="94"/>
        <v>7.999959546808677E-2</v>
      </c>
      <c r="P518">
        <f t="shared" si="98"/>
        <v>0</v>
      </c>
      <c r="Q518">
        <f t="shared" si="99"/>
        <v>0</v>
      </c>
    </row>
    <row r="519" spans="1:17" x14ac:dyDescent="0.45">
      <c r="A519">
        <v>2.5599999999999699</v>
      </c>
      <c r="B519">
        <f t="shared" si="95"/>
        <v>2.9998265501318996E-2</v>
      </c>
      <c r="C519">
        <f t="shared" si="96"/>
        <v>0.13000173449868102</v>
      </c>
      <c r="D519">
        <f t="shared" si="97"/>
        <v>8.0000462532981598E-2</v>
      </c>
      <c r="E519">
        <f t="shared" ref="E519:E582" si="100">P0-SIGN(DeltaThetaDeg)*EXP(-Xi*Wn*A519)*(COS(Wd*A519)-(Xi*Wn-1)/(Wd)*SIN(Wd*A519))*Ppeak</f>
        <v>7.9999570222183236E-2</v>
      </c>
      <c r="P519">
        <f t="shared" si="98"/>
        <v>0</v>
      </c>
      <c r="Q519">
        <f t="shared" si="99"/>
        <v>0</v>
      </c>
    </row>
    <row r="520" spans="1:17" x14ac:dyDescent="0.45">
      <c r="A520">
        <v>2.5649999999999702</v>
      </c>
      <c r="B520">
        <f t="shared" si="95"/>
        <v>2.9998308326244005E-2</v>
      </c>
      <c r="C520">
        <f t="shared" si="96"/>
        <v>0.130001691673756</v>
      </c>
      <c r="D520">
        <f t="shared" si="97"/>
        <v>8.0000451113001594E-2</v>
      </c>
      <c r="E520">
        <f t="shared" si="100"/>
        <v>7.9999546774852326E-2</v>
      </c>
      <c r="P520">
        <f t="shared" si="98"/>
        <v>0</v>
      </c>
      <c r="Q520">
        <f t="shared" si="99"/>
        <v>0</v>
      </c>
    </row>
    <row r="521" spans="1:17" x14ac:dyDescent="0.45">
      <c r="A521">
        <v>2.5699999999999701</v>
      </c>
      <c r="B521">
        <f t="shared" ref="B521:B584" si="101">P0-Ppeak*(1+Marge_haute)*EXP(-Sigma*A519)-Tunnel</f>
        <v>2.9998350093817863E-2</v>
      </c>
      <c r="C521">
        <f t="shared" ref="C521:C584" si="102">P0+Ppeak*(1+Marge_haute)*EXP(-Sigma*A519)+Tunnel</f>
        <v>0.13000164990618213</v>
      </c>
      <c r="D521">
        <f t="shared" ref="D521:D584" si="103">P0-SIGN(DeltaThetaDeg)*Marge_basse*Ppeak*EXP(-Sigma*A519)</f>
        <v>8.0000439974981907E-2</v>
      </c>
      <c r="E521">
        <f t="shared" si="100"/>
        <v>7.9999525069327559E-2</v>
      </c>
      <c r="P521">
        <f t="shared" si="98"/>
        <v>0</v>
      </c>
      <c r="Q521">
        <f t="shared" si="99"/>
        <v>0</v>
      </c>
    </row>
    <row r="522" spans="1:17" x14ac:dyDescent="0.45">
      <c r="A522">
        <v>2.57499999999997</v>
      </c>
      <c r="B522">
        <f t="shared" si="101"/>
        <v>2.9998390830146646E-2</v>
      </c>
      <c r="C522">
        <f t="shared" si="102"/>
        <v>0.13000160916985337</v>
      </c>
      <c r="D522">
        <f t="shared" si="103"/>
        <v>8.0000429111960897E-2</v>
      </c>
      <c r="E522">
        <f t="shared" si="100"/>
        <v>7.9999505049311775E-2</v>
      </c>
      <c r="P522">
        <f t="shared" si="98"/>
        <v>0</v>
      </c>
      <c r="Q522">
        <f t="shared" si="99"/>
        <v>0</v>
      </c>
    </row>
    <row r="523" spans="1:17" x14ac:dyDescent="0.45">
      <c r="A523">
        <v>2.5799999999999699</v>
      </c>
      <c r="B523">
        <f t="shared" si="101"/>
        <v>2.9998430560691888E-2</v>
      </c>
      <c r="C523">
        <f t="shared" si="102"/>
        <v>0.13000156943930813</v>
      </c>
      <c r="D523">
        <f t="shared" si="103"/>
        <v>8.0000418517148827E-2</v>
      </c>
      <c r="E523">
        <f t="shared" si="100"/>
        <v>7.9999486659028576E-2</v>
      </c>
      <c r="P523">
        <f t="shared" ref="P523:P586" si="104">IF(EMT_simulation,N519,N523)</f>
        <v>0</v>
      </c>
      <c r="Q523">
        <f t="shared" ref="Q523:Q586" si="105">IF(EMT_simulation,O519,O523)</f>
        <v>0</v>
      </c>
    </row>
    <row r="524" spans="1:17" x14ac:dyDescent="0.45">
      <c r="A524">
        <v>2.5849999999999702</v>
      </c>
      <c r="B524">
        <f t="shared" si="101"/>
        <v>2.9998469310286477E-2</v>
      </c>
      <c r="C524">
        <f t="shared" si="102"/>
        <v>0.13000153068971354</v>
      </c>
      <c r="D524">
        <f t="shared" si="103"/>
        <v>8.0000408183923608E-2</v>
      </c>
      <c r="E524">
        <f t="shared" si="100"/>
        <v>7.9999469843270471E-2</v>
      </c>
      <c r="P524">
        <f t="shared" si="104"/>
        <v>0</v>
      </c>
      <c r="Q524">
        <f t="shared" si="105"/>
        <v>0</v>
      </c>
    </row>
    <row r="525" spans="1:17" x14ac:dyDescent="0.45">
      <c r="A525">
        <v>2.5899999999999701</v>
      </c>
      <c r="B525">
        <f t="shared" si="101"/>
        <v>2.9998507103150163E-2</v>
      </c>
      <c r="C525">
        <f t="shared" si="102"/>
        <v>0.13000149289684984</v>
      </c>
      <c r="D525">
        <f t="shared" si="103"/>
        <v>8.0000398105826626E-2</v>
      </c>
      <c r="E525">
        <f t="shared" si="100"/>
        <v>7.9999454547444143E-2</v>
      </c>
      <c r="P525">
        <f t="shared" si="104"/>
        <v>0</v>
      </c>
      <c r="Q525">
        <f t="shared" si="105"/>
        <v>0</v>
      </c>
    </row>
    <row r="526" spans="1:17" x14ac:dyDescent="0.45">
      <c r="A526">
        <v>2.59499999999997</v>
      </c>
      <c r="B526">
        <f t="shared" si="101"/>
        <v>2.9998543962904717E-2</v>
      </c>
      <c r="C526">
        <f t="shared" si="102"/>
        <v>0.13000145603709529</v>
      </c>
      <c r="D526">
        <f t="shared" si="103"/>
        <v>8.000038827655874E-2</v>
      </c>
      <c r="E526">
        <f t="shared" si="100"/>
        <v>7.9999440717612419E-2</v>
      </c>
      <c r="P526">
        <f t="shared" si="104"/>
        <v>0</v>
      </c>
      <c r="Q526">
        <f t="shared" si="105"/>
        <v>0</v>
      </c>
    </row>
    <row r="527" spans="1:17" x14ac:dyDescent="0.45">
      <c r="A527">
        <v>2.5999999999999699</v>
      </c>
      <c r="B527">
        <f t="shared" si="101"/>
        <v>2.9998579912588683E-2</v>
      </c>
      <c r="C527">
        <f t="shared" si="102"/>
        <v>0.13000142008741133</v>
      </c>
      <c r="D527">
        <f t="shared" si="103"/>
        <v>8.0000378689976351E-2</v>
      </c>
      <c r="E527">
        <f t="shared" si="100"/>
        <v>7.9999428300533568E-2</v>
      </c>
      <c r="P527">
        <f t="shared" si="104"/>
        <v>0</v>
      </c>
      <c r="Q527">
        <f t="shared" si="105"/>
        <v>0</v>
      </c>
    </row>
    <row r="528" spans="1:17" x14ac:dyDescent="0.45">
      <c r="A528">
        <v>2.6049999999999698</v>
      </c>
      <c r="B528">
        <f t="shared" si="101"/>
        <v>2.9998614974671794E-2</v>
      </c>
      <c r="C528">
        <f t="shared" si="102"/>
        <v>0.13000138502532821</v>
      </c>
      <c r="D528">
        <f t="shared" si="103"/>
        <v>8.0000369340087515E-2</v>
      </c>
      <c r="E528">
        <f t="shared" si="100"/>
        <v>7.9999417243697607E-2</v>
      </c>
      <c r="P528">
        <f t="shared" si="104"/>
        <v>0</v>
      </c>
      <c r="Q528">
        <f t="shared" si="105"/>
        <v>0</v>
      </c>
    </row>
    <row r="529" spans="1:17" x14ac:dyDescent="0.45">
      <c r="A529">
        <v>2.6099999999999701</v>
      </c>
      <c r="B529">
        <f t="shared" si="101"/>
        <v>2.9998649171068995E-2</v>
      </c>
      <c r="C529">
        <f t="shared" si="102"/>
        <v>0.13000135082893099</v>
      </c>
      <c r="D529">
        <f t="shared" si="103"/>
        <v>8.0000360221048269E-2</v>
      </c>
      <c r="E529">
        <f t="shared" si="100"/>
        <v>7.9999407495359956E-2</v>
      </c>
      <c r="P529">
        <f t="shared" si="104"/>
        <v>0</v>
      </c>
      <c r="Q529">
        <f t="shared" si="105"/>
        <v>0</v>
      </c>
    </row>
    <row r="530" spans="1:17" x14ac:dyDescent="0.45">
      <c r="A530">
        <v>2.61499999999997</v>
      </c>
      <c r="B530">
        <f t="shared" si="101"/>
        <v>2.999868252315413E-2</v>
      </c>
      <c r="C530">
        <f t="shared" si="102"/>
        <v>0.13000131747684587</v>
      </c>
      <c r="D530">
        <f t="shared" si="103"/>
        <v>8.0000351327158895E-2</v>
      </c>
      <c r="E530">
        <f t="shared" si="100"/>
        <v>7.9999399004572397E-2</v>
      </c>
      <c r="P530">
        <f t="shared" si="104"/>
        <v>0</v>
      </c>
      <c r="Q530">
        <f t="shared" si="105"/>
        <v>0</v>
      </c>
    </row>
    <row r="531" spans="1:17" x14ac:dyDescent="0.45">
      <c r="A531">
        <v>2.6199999999999699</v>
      </c>
      <c r="B531">
        <f t="shared" si="101"/>
        <v>2.9998715051773359E-2</v>
      </c>
      <c r="C531">
        <f t="shared" si="102"/>
        <v>0.13000128494822666</v>
      </c>
      <c r="D531">
        <f t="shared" si="103"/>
        <v>8.0000342652860434E-2</v>
      </c>
      <c r="E531">
        <f t="shared" si="100"/>
        <v>7.999939172121151E-2</v>
      </c>
      <c r="P531">
        <f t="shared" si="104"/>
        <v>0</v>
      </c>
      <c r="Q531">
        <f t="shared" si="105"/>
        <v>0</v>
      </c>
    </row>
    <row r="532" spans="1:17" x14ac:dyDescent="0.45">
      <c r="A532">
        <v>2.6249999999999698</v>
      </c>
      <c r="B532">
        <f t="shared" si="101"/>
        <v>2.9998746777258112E-2</v>
      </c>
      <c r="C532">
        <f t="shared" si="102"/>
        <v>0.13000125322274189</v>
      </c>
      <c r="D532">
        <f t="shared" si="103"/>
        <v>8.0000334192731171E-2</v>
      </c>
      <c r="E532">
        <f t="shared" si="100"/>
        <v>7.9999385596004571E-2</v>
      </c>
      <c r="P532">
        <f t="shared" si="104"/>
        <v>0</v>
      </c>
      <c r="Q532">
        <f t="shared" si="105"/>
        <v>0</v>
      </c>
    </row>
    <row r="533" spans="1:17" x14ac:dyDescent="0.45">
      <c r="A533">
        <v>2.6299999999999701</v>
      </c>
      <c r="B533">
        <f t="shared" si="101"/>
        <v>2.9998777719437861E-2</v>
      </c>
      <c r="C533">
        <f t="shared" si="102"/>
        <v>0.13000122228056216</v>
      </c>
      <c r="D533">
        <f t="shared" si="103"/>
        <v>8.0000325941483236E-2</v>
      </c>
      <c r="E533">
        <f t="shared" si="100"/>
        <v>7.9999380580553156E-2</v>
      </c>
      <c r="P533">
        <f t="shared" si="104"/>
        <v>0</v>
      </c>
      <c r="Q533">
        <f t="shared" si="105"/>
        <v>0</v>
      </c>
    </row>
    <row r="534" spans="1:17" x14ac:dyDescent="0.45">
      <c r="A534">
        <v>2.63499999999997</v>
      </c>
      <c r="B534">
        <f t="shared" si="101"/>
        <v>2.9998807897652469E-2</v>
      </c>
      <c r="C534">
        <f t="shared" si="102"/>
        <v>0.13000119210234753</v>
      </c>
      <c r="D534">
        <f t="shared" si="103"/>
        <v>8.0000317893959338E-2</v>
      </c>
      <c r="E534">
        <f t="shared" si="100"/>
        <v>7.9999376627354332E-2</v>
      </c>
      <c r="P534">
        <f t="shared" si="104"/>
        <v>0</v>
      </c>
      <c r="Q534">
        <f t="shared" si="105"/>
        <v>0</v>
      </c>
    </row>
    <row r="535" spans="1:17" x14ac:dyDescent="0.45">
      <c r="A535">
        <v>2.6399999999999699</v>
      </c>
      <c r="B535">
        <f t="shared" si="101"/>
        <v>2.9998837330764291E-2</v>
      </c>
      <c r="C535">
        <f t="shared" si="102"/>
        <v>0.13000116266923573</v>
      </c>
      <c r="D535">
        <f t="shared" si="103"/>
        <v>8.0000310045129516E-2</v>
      </c>
      <c r="E535">
        <f t="shared" si="100"/>
        <v>7.9999373689819742E-2</v>
      </c>
      <c r="P535">
        <f t="shared" si="104"/>
        <v>0</v>
      </c>
      <c r="Q535">
        <f t="shared" si="105"/>
        <v>0</v>
      </c>
    </row>
    <row r="536" spans="1:17" x14ac:dyDescent="0.45">
      <c r="A536">
        <v>2.6449999999999698</v>
      </c>
      <c r="B536">
        <f t="shared" si="101"/>
        <v>2.9998866037170002E-2</v>
      </c>
      <c r="C536">
        <f t="shared" si="102"/>
        <v>0.13000113396283</v>
      </c>
      <c r="D536">
        <f t="shared" si="103"/>
        <v>8.0000302390087999E-2</v>
      </c>
      <c r="E536">
        <f t="shared" si="100"/>
        <v>7.9999371722292448E-2</v>
      </c>
      <c r="P536">
        <f t="shared" si="104"/>
        <v>0</v>
      </c>
      <c r="Q536">
        <f t="shared" si="105"/>
        <v>0</v>
      </c>
    </row>
    <row r="537" spans="1:17" x14ac:dyDescent="0.45">
      <c r="A537">
        <v>2.6499999999999702</v>
      </c>
      <c r="B537">
        <f t="shared" si="101"/>
        <v>2.999889403481204E-2</v>
      </c>
      <c r="C537">
        <f t="shared" si="102"/>
        <v>0.13000110596518796</v>
      </c>
      <c r="D537">
        <f t="shared" si="103"/>
        <v>8.0000294924050128E-2</v>
      </c>
      <c r="E537">
        <f t="shared" si="100"/>
        <v>7.9999370680061826E-2</v>
      </c>
      <c r="P537">
        <f t="shared" si="104"/>
        <v>0</v>
      </c>
      <c r="Q537">
        <f t="shared" si="105"/>
        <v>0</v>
      </c>
    </row>
    <row r="538" spans="1:17" x14ac:dyDescent="0.45">
      <c r="A538">
        <v>2.6549999999999701</v>
      </c>
      <c r="B538">
        <f t="shared" si="101"/>
        <v>2.9998921341189824E-2</v>
      </c>
      <c r="C538">
        <f t="shared" si="102"/>
        <v>0.13000107865881017</v>
      </c>
      <c r="D538">
        <f t="shared" si="103"/>
        <v>8.0000287642349385E-2</v>
      </c>
      <c r="E538">
        <f t="shared" si="100"/>
        <v>7.9999370519376389E-2</v>
      </c>
      <c r="P538">
        <f t="shared" si="104"/>
        <v>0</v>
      </c>
      <c r="Q538">
        <f t="shared" si="105"/>
        <v>0</v>
      </c>
    </row>
    <row r="539" spans="1:17" x14ac:dyDescent="0.45">
      <c r="A539">
        <v>2.6599999999999699</v>
      </c>
      <c r="B539">
        <f t="shared" si="101"/>
        <v>2.9998947973370743E-2</v>
      </c>
      <c r="C539">
        <f t="shared" si="102"/>
        <v>0.13000105202662926</v>
      </c>
      <c r="D539">
        <f t="shared" si="103"/>
        <v>8.0000280540434468E-2</v>
      </c>
      <c r="E539">
        <f t="shared" si="100"/>
        <v>7.9999371197454761E-2</v>
      </c>
      <c r="P539">
        <f t="shared" si="104"/>
        <v>0</v>
      </c>
      <c r="Q539">
        <f t="shared" si="105"/>
        <v>0</v>
      </c>
    </row>
    <row r="540" spans="1:17" x14ac:dyDescent="0.45">
      <c r="A540">
        <v>2.6649999999999698</v>
      </c>
      <c r="B540">
        <f t="shared" si="101"/>
        <v>2.9998973948000759E-2</v>
      </c>
      <c r="C540">
        <f t="shared" si="102"/>
        <v>0.13000102605199926</v>
      </c>
      <c r="D540">
        <f t="shared" si="103"/>
        <v>8.0000273613866468E-2</v>
      </c>
      <c r="E540">
        <f t="shared" si="100"/>
        <v>7.9999372672494892E-2</v>
      </c>
      <c r="P540">
        <f t="shared" si="104"/>
        <v>0</v>
      </c>
      <c r="Q540">
        <f t="shared" si="105"/>
        <v>0</v>
      </c>
    </row>
    <row r="541" spans="1:17" x14ac:dyDescent="0.45">
      <c r="A541">
        <v>2.6699999999999702</v>
      </c>
      <c r="B541">
        <f t="shared" si="101"/>
        <v>2.9998999281314886E-2</v>
      </c>
      <c r="C541">
        <f t="shared" si="102"/>
        <v>0.13000100071868512</v>
      </c>
      <c r="D541">
        <f t="shared" si="103"/>
        <v>8.000026685831603E-2</v>
      </c>
      <c r="E541">
        <f t="shared" si="100"/>
        <v>7.9999374903681419E-2</v>
      </c>
      <c r="P541">
        <f t="shared" si="104"/>
        <v>0</v>
      </c>
      <c r="Q541">
        <f t="shared" si="105"/>
        <v>0</v>
      </c>
    </row>
    <row r="542" spans="1:17" x14ac:dyDescent="0.45">
      <c r="A542">
        <v>2.6749999999999701</v>
      </c>
      <c r="B542">
        <f t="shared" si="101"/>
        <v>2.999902398914725E-2</v>
      </c>
      <c r="C542">
        <f t="shared" si="102"/>
        <v>0.13000097601085275</v>
      </c>
      <c r="D542">
        <f t="shared" si="103"/>
        <v>8.0000260269560738E-2</v>
      </c>
      <c r="E542">
        <f t="shared" si="100"/>
        <v>7.9999377851191419E-2</v>
      </c>
      <c r="P542">
        <f t="shared" si="104"/>
        <v>0</v>
      </c>
      <c r="Q542">
        <f t="shared" si="105"/>
        <v>0</v>
      </c>
    </row>
    <row r="543" spans="1:17" x14ac:dyDescent="0.45">
      <c r="A543">
        <v>2.67999999999997</v>
      </c>
      <c r="B543">
        <f t="shared" si="101"/>
        <v>2.9999048086941066E-2</v>
      </c>
      <c r="C543">
        <f t="shared" si="102"/>
        <v>0.13000095191305894</v>
      </c>
      <c r="D543">
        <f t="shared" si="103"/>
        <v>8.0000253843482388E-2</v>
      </c>
      <c r="E543">
        <f t="shared" si="100"/>
        <v>7.9999381476198617E-2</v>
      </c>
      <c r="P543">
        <f t="shared" si="104"/>
        <v>0</v>
      </c>
      <c r="Q543">
        <f t="shared" si="105"/>
        <v>0</v>
      </c>
    </row>
    <row r="544" spans="1:17" x14ac:dyDescent="0.45">
      <c r="A544">
        <v>2.6849999999999699</v>
      </c>
      <c r="B544">
        <f t="shared" si="101"/>
        <v>2.9999071589758244E-2</v>
      </c>
      <c r="C544">
        <f t="shared" si="102"/>
        <v>0.13000092841024175</v>
      </c>
      <c r="D544">
        <f t="shared" si="103"/>
        <v>8.000024757606447E-2</v>
      </c>
      <c r="E544">
        <f t="shared" si="100"/>
        <v>7.9999385740876006E-2</v>
      </c>
      <c r="P544">
        <f t="shared" si="104"/>
        <v>0</v>
      </c>
      <c r="Q544">
        <f t="shared" si="105"/>
        <v>0</v>
      </c>
    </row>
    <row r="545" spans="1:17" x14ac:dyDescent="0.45">
      <c r="A545">
        <v>2.6899999999999702</v>
      </c>
      <c r="B545">
        <f t="shared" si="101"/>
        <v>2.9999094512288785E-2</v>
      </c>
      <c r="C545">
        <f t="shared" si="102"/>
        <v>0.1300009054877112</v>
      </c>
      <c r="D545">
        <f t="shared" si="103"/>
        <v>8.000024146338966E-2</v>
      </c>
      <c r="E545">
        <f t="shared" si="100"/>
        <v>7.9999390608397031E-2</v>
      </c>
      <c r="P545">
        <f t="shared" si="104"/>
        <v>0</v>
      </c>
      <c r="Q545">
        <f t="shared" si="105"/>
        <v>0</v>
      </c>
    </row>
    <row r="546" spans="1:17" x14ac:dyDescent="0.45">
      <c r="A546">
        <v>2.6949999999999701</v>
      </c>
      <c r="B546">
        <f t="shared" si="101"/>
        <v>2.9999116868860032E-2</v>
      </c>
      <c r="C546">
        <f t="shared" si="102"/>
        <v>0.13000088313113997</v>
      </c>
      <c r="D546">
        <f t="shared" si="103"/>
        <v>8.0000235501637332E-2</v>
      </c>
      <c r="E546">
        <f t="shared" si="100"/>
        <v>7.9999396042935447E-2</v>
      </c>
      <c r="P546">
        <f t="shared" si="104"/>
        <v>0</v>
      </c>
      <c r="Q546">
        <f t="shared" si="105"/>
        <v>0</v>
      </c>
    </row>
    <row r="547" spans="1:17" x14ac:dyDescent="0.45">
      <c r="A547">
        <v>2.69999999999997</v>
      </c>
      <c r="B547">
        <f t="shared" si="101"/>
        <v>2.9999138673445558E-2</v>
      </c>
      <c r="C547">
        <f t="shared" si="102"/>
        <v>0.13000086132655445</v>
      </c>
      <c r="D547">
        <f t="shared" si="103"/>
        <v>8.000022968708119E-2</v>
      </c>
      <c r="E547">
        <f t="shared" si="100"/>
        <v>7.9999402009663795E-2</v>
      </c>
      <c r="P547">
        <f t="shared" si="104"/>
        <v>0</v>
      </c>
      <c r="Q547">
        <f t="shared" si="105"/>
        <v>0</v>
      </c>
    </row>
    <row r="548" spans="1:17" x14ac:dyDescent="0.45">
      <c r="A548">
        <v>2.7049999999999699</v>
      </c>
      <c r="B548">
        <f t="shared" si="101"/>
        <v>2.9999159939673961E-2</v>
      </c>
      <c r="C548">
        <f t="shared" si="102"/>
        <v>0.13000084006032603</v>
      </c>
      <c r="D548">
        <f t="shared" si="103"/>
        <v>8.0000224016086946E-2</v>
      </c>
      <c r="E548">
        <f t="shared" si="100"/>
        <v>7.999940847475065E-2</v>
      </c>
      <c r="P548">
        <f t="shared" si="104"/>
        <v>0</v>
      </c>
      <c r="Q548">
        <f t="shared" si="105"/>
        <v>0</v>
      </c>
    </row>
    <row r="549" spans="1:17" x14ac:dyDescent="0.45">
      <c r="A549">
        <v>2.7099999999999702</v>
      </c>
      <c r="B549">
        <f t="shared" si="101"/>
        <v>2.9999180680837317E-2</v>
      </c>
      <c r="C549">
        <f t="shared" si="102"/>
        <v>0.13000081931916269</v>
      </c>
      <c r="D549">
        <f t="shared" si="103"/>
        <v>8.0000218485110047E-2</v>
      </c>
      <c r="E549">
        <f t="shared" si="100"/>
        <v>7.9999415405356739E-2</v>
      </c>
      <c r="P549">
        <f t="shared" si="104"/>
        <v>0</v>
      </c>
      <c r="Q549">
        <f t="shared" si="105"/>
        <v>0</v>
      </c>
    </row>
    <row r="550" spans="1:17" x14ac:dyDescent="0.45">
      <c r="A550">
        <v>2.7149999999999701</v>
      </c>
      <c r="B550">
        <f t="shared" si="101"/>
        <v>2.999920090989952E-2</v>
      </c>
      <c r="C550">
        <f t="shared" si="102"/>
        <v>0.13000079909010048</v>
      </c>
      <c r="D550">
        <f t="shared" si="103"/>
        <v>8.0000213090693467E-2</v>
      </c>
      <c r="E550">
        <f t="shared" si="100"/>
        <v>7.9999422769629888E-2</v>
      </c>
      <c r="P550">
        <f t="shared" si="104"/>
        <v>0</v>
      </c>
      <c r="Q550">
        <f t="shared" si="105"/>
        <v>0</v>
      </c>
    </row>
    <row r="551" spans="1:17" x14ac:dyDescent="0.45">
      <c r="A551">
        <v>2.71999999999997</v>
      </c>
      <c r="B551">
        <f t="shared" si="101"/>
        <v>2.9999220639504401E-2</v>
      </c>
      <c r="C551">
        <f t="shared" si="102"/>
        <v>0.13000077936049559</v>
      </c>
      <c r="D551">
        <f t="shared" si="103"/>
        <v>8.00002078294655E-2</v>
      </c>
      <c r="E551">
        <f t="shared" si="100"/>
        <v>7.9999430536698904E-2</v>
      </c>
      <c r="P551">
        <f t="shared" si="104"/>
        <v>0</v>
      </c>
      <c r="Q551">
        <f t="shared" si="105"/>
        <v>0</v>
      </c>
    </row>
    <row r="552" spans="1:17" x14ac:dyDescent="0.45">
      <c r="A552">
        <v>2.7249999999999699</v>
      </c>
      <c r="B552">
        <f t="shared" si="101"/>
        <v>2.9999239881983594E-2</v>
      </c>
      <c r="C552">
        <f t="shared" si="102"/>
        <v>0.13000076011801642</v>
      </c>
      <c r="D552">
        <f t="shared" si="103"/>
        <v>8.0000202698137707E-2</v>
      </c>
      <c r="E552">
        <f t="shared" si="100"/>
        <v>7.9999438676666534E-2</v>
      </c>
      <c r="P552">
        <f t="shared" si="104"/>
        <v>0</v>
      </c>
      <c r="Q552">
        <f t="shared" si="105"/>
        <v>0</v>
      </c>
    </row>
    <row r="553" spans="1:17" x14ac:dyDescent="0.45">
      <c r="A553">
        <v>2.7299999999999698</v>
      </c>
      <c r="B553">
        <f t="shared" si="101"/>
        <v>2.9999258649364285E-2</v>
      </c>
      <c r="C553">
        <f t="shared" si="102"/>
        <v>0.13000074135063572</v>
      </c>
      <c r="D553">
        <f t="shared" si="103"/>
        <v>8.0000197693502861E-2</v>
      </c>
      <c r="E553">
        <f t="shared" si="100"/>
        <v>7.9999447160601353E-2</v>
      </c>
      <c r="P553">
        <f t="shared" si="104"/>
        <v>0</v>
      </c>
      <c r="Q553">
        <f t="shared" si="105"/>
        <v>0</v>
      </c>
    </row>
    <row r="554" spans="1:17" x14ac:dyDescent="0.45">
      <c r="A554">
        <v>2.7349999999999701</v>
      </c>
      <c r="B554">
        <f t="shared" si="101"/>
        <v>2.9999276953376702E-2</v>
      </c>
      <c r="C554">
        <f t="shared" si="102"/>
        <v>0.1300007230466233</v>
      </c>
      <c r="D554">
        <f t="shared" si="103"/>
        <v>8.0000192812432883E-2</v>
      </c>
      <c r="E554">
        <f t="shared" si="100"/>
        <v>7.9999455960528931E-2</v>
      </c>
      <c r="P554">
        <f t="shared" si="104"/>
        <v>0</v>
      </c>
      <c r="Q554">
        <f t="shared" si="105"/>
        <v>0</v>
      </c>
    </row>
    <row r="555" spans="1:17" x14ac:dyDescent="0.45">
      <c r="A555">
        <v>2.73999999999997</v>
      </c>
      <c r="B555">
        <f t="shared" si="101"/>
        <v>2.9999294805461443E-2</v>
      </c>
      <c r="C555">
        <f t="shared" si="102"/>
        <v>0.13000070519453855</v>
      </c>
      <c r="D555">
        <f t="shared" si="103"/>
        <v>8.0000188051876947E-2</v>
      </c>
      <c r="E555">
        <f t="shared" si="100"/>
        <v>7.9999465049422042E-2</v>
      </c>
      <c r="P555">
        <f t="shared" si="104"/>
        <v>0</v>
      </c>
      <c r="Q555">
        <f t="shared" si="105"/>
        <v>0</v>
      </c>
    </row>
    <row r="556" spans="1:17" x14ac:dyDescent="0.45">
      <c r="A556">
        <v>2.7449999999999699</v>
      </c>
      <c r="B556">
        <f t="shared" si="101"/>
        <v>2.9999312216776639E-2</v>
      </c>
      <c r="C556">
        <f t="shared" si="102"/>
        <v>0.13000068778322338</v>
      </c>
      <c r="D556">
        <f t="shared" si="103"/>
        <v>8.000018340885956E-2</v>
      </c>
      <c r="E556">
        <f t="shared" si="100"/>
        <v>7.9999474401190138E-2</v>
      </c>
      <c r="P556">
        <f t="shared" si="104"/>
        <v>0</v>
      </c>
      <c r="Q556">
        <f t="shared" si="105"/>
        <v>0</v>
      </c>
    </row>
    <row r="557" spans="1:17" x14ac:dyDescent="0.45">
      <c r="A557">
        <v>2.7499999999999698</v>
      </c>
      <c r="B557">
        <f t="shared" si="101"/>
        <v>2.999932919820493E-2</v>
      </c>
      <c r="C557">
        <f t="shared" si="102"/>
        <v>0.13000067080179506</v>
      </c>
      <c r="D557">
        <f t="shared" si="103"/>
        <v>8.0000178880478681E-2</v>
      </c>
      <c r="E557">
        <f t="shared" si="100"/>
        <v>7.9999483990668141E-2</v>
      </c>
      <c r="P557">
        <f t="shared" si="104"/>
        <v>0</v>
      </c>
      <c r="Q557">
        <f t="shared" si="105"/>
        <v>0</v>
      </c>
    </row>
    <row r="558" spans="1:17" x14ac:dyDescent="0.45">
      <c r="A558">
        <v>2.7549999999999701</v>
      </c>
      <c r="B558">
        <f t="shared" si="101"/>
        <v>2.9999345760360258E-2</v>
      </c>
      <c r="C558">
        <f t="shared" si="102"/>
        <v>0.13000065423963975</v>
      </c>
      <c r="D558">
        <f t="shared" si="103"/>
        <v>8.0000174463903936E-2</v>
      </c>
      <c r="E558">
        <f t="shared" si="100"/>
        <v>7.9999493793604493E-2</v>
      </c>
      <c r="P558">
        <f t="shared" si="104"/>
        <v>0</v>
      </c>
      <c r="Q558">
        <f t="shared" si="105"/>
        <v>0</v>
      </c>
    </row>
    <row r="559" spans="1:17" x14ac:dyDescent="0.45">
      <c r="A559">
        <v>2.75999999999997</v>
      </c>
      <c r="B559">
        <f t="shared" si="101"/>
        <v>2.9999361913594522E-2</v>
      </c>
      <c r="C559">
        <f t="shared" si="102"/>
        <v>0.1300006380864055</v>
      </c>
      <c r="D559">
        <f t="shared" si="103"/>
        <v>8.0000170156374797E-2</v>
      </c>
      <c r="E559">
        <f t="shared" si="100"/>
        <v>7.9999503786648635E-2</v>
      </c>
      <c r="P559">
        <f t="shared" si="104"/>
        <v>0</v>
      </c>
      <c r="Q559">
        <f t="shared" si="105"/>
        <v>0</v>
      </c>
    </row>
    <row r="560" spans="1:17" x14ac:dyDescent="0.45">
      <c r="A560">
        <v>2.7649999999999699</v>
      </c>
      <c r="B560">
        <f t="shared" si="101"/>
        <v>2.9999377668004007E-2</v>
      </c>
      <c r="C560">
        <f t="shared" si="102"/>
        <v>0.130000622331996</v>
      </c>
      <c r="D560">
        <f t="shared" si="103"/>
        <v>8.0000165955198932E-2</v>
      </c>
      <c r="E560">
        <f t="shared" si="100"/>
        <v>7.9999513947337869E-2</v>
      </c>
      <c r="P560">
        <f t="shared" si="104"/>
        <v>0</v>
      </c>
      <c r="Q560">
        <f t="shared" si="105"/>
        <v>0</v>
      </c>
    </row>
    <row r="561" spans="1:17" x14ac:dyDescent="0.45">
      <c r="A561">
        <v>2.7699999999999698</v>
      </c>
      <c r="B561">
        <f t="shared" si="101"/>
        <v>2.9999393033435726E-2</v>
      </c>
      <c r="C561">
        <f t="shared" si="102"/>
        <v>0.13000060696656429</v>
      </c>
      <c r="D561">
        <f t="shared" si="103"/>
        <v>8.0000161857750468E-2</v>
      </c>
      <c r="E561">
        <f t="shared" si="100"/>
        <v>7.9999524254083756E-2</v>
      </c>
      <c r="P561">
        <f t="shared" si="104"/>
        <v>0</v>
      </c>
      <c r="Q561">
        <f t="shared" si="105"/>
        <v>0</v>
      </c>
    </row>
    <row r="562" spans="1:17" x14ac:dyDescent="0.45">
      <c r="A562">
        <v>2.7749999999999702</v>
      </c>
      <c r="B562">
        <f t="shared" si="101"/>
        <v>2.9999408019493592E-2</v>
      </c>
      <c r="C562">
        <f t="shared" si="102"/>
        <v>0.1300005919805064</v>
      </c>
      <c r="D562">
        <f t="shared" si="103"/>
        <v>8.0000157861468371E-2</v>
      </c>
      <c r="E562">
        <f t="shared" si="100"/>
        <v>7.9999534686157905E-2</v>
      </c>
      <c r="P562">
        <f t="shared" si="104"/>
        <v>0</v>
      </c>
      <c r="Q562">
        <f t="shared" si="105"/>
        <v>0</v>
      </c>
    </row>
    <row r="563" spans="1:17" x14ac:dyDescent="0.45">
      <c r="A563">
        <v>2.7799999999999701</v>
      </c>
      <c r="B563">
        <f t="shared" si="101"/>
        <v>2.9999422635544379E-2</v>
      </c>
      <c r="C563">
        <f t="shared" si="102"/>
        <v>0.13000057736445564</v>
      </c>
      <c r="D563">
        <f t="shared" si="103"/>
        <v>8.0000153963854834E-2</v>
      </c>
      <c r="E563">
        <f t="shared" si="100"/>
        <v>7.9999545223677443E-2</v>
      </c>
      <c r="P563">
        <f t="shared" si="104"/>
        <v>0</v>
      </c>
      <c r="Q563">
        <f t="shared" si="105"/>
        <v>0</v>
      </c>
    </row>
    <row r="564" spans="1:17" x14ac:dyDescent="0.45">
      <c r="A564">
        <v>2.7849999999999699</v>
      </c>
      <c r="B564">
        <f t="shared" si="101"/>
        <v>2.9999436890723583E-2</v>
      </c>
      <c r="C564">
        <f t="shared" si="102"/>
        <v>0.13000056310927643</v>
      </c>
      <c r="D564">
        <f t="shared" si="103"/>
        <v>8.0000150162473707E-2</v>
      </c>
      <c r="E564">
        <f t="shared" si="100"/>
        <v>7.9999555847589984E-2</v>
      </c>
      <c r="P564">
        <f t="shared" si="104"/>
        <v>0</v>
      </c>
      <c r="Q564">
        <f t="shared" si="105"/>
        <v>0</v>
      </c>
    </row>
    <row r="565" spans="1:17" x14ac:dyDescent="0.45">
      <c r="A565">
        <v>2.7899999999999698</v>
      </c>
      <c r="B565">
        <f t="shared" si="101"/>
        <v>2.9999450793941146E-2</v>
      </c>
      <c r="C565">
        <f t="shared" si="102"/>
        <v>0.13000054920605886</v>
      </c>
      <c r="D565">
        <f t="shared" si="103"/>
        <v>8.0000146454949031E-2</v>
      </c>
      <c r="E565">
        <f t="shared" si="100"/>
        <v>7.999956653965834E-2</v>
      </c>
      <c r="P565">
        <f t="shared" si="104"/>
        <v>0</v>
      </c>
      <c r="Q565">
        <f t="shared" si="105"/>
        <v>0</v>
      </c>
    </row>
    <row r="566" spans="1:17" x14ac:dyDescent="0.45">
      <c r="A566">
        <v>2.7949999999999702</v>
      </c>
      <c r="B566">
        <f t="shared" si="101"/>
        <v>2.9999464353887062E-2</v>
      </c>
      <c r="C566">
        <f t="shared" si="102"/>
        <v>0.13000053564611294</v>
      </c>
      <c r="D566">
        <f t="shared" si="103"/>
        <v>8.0000142838963451E-2</v>
      </c>
      <c r="E566">
        <f t="shared" si="100"/>
        <v>7.9999577282444737E-2</v>
      </c>
      <c r="P566">
        <f t="shared" si="104"/>
        <v>0</v>
      </c>
      <c r="Q566">
        <f t="shared" si="105"/>
        <v>0</v>
      </c>
    </row>
    <row r="567" spans="1:17" x14ac:dyDescent="0.45">
      <c r="A567">
        <v>2.7999999999999701</v>
      </c>
      <c r="B567">
        <f t="shared" si="101"/>
        <v>2.9999477579036704E-2</v>
      </c>
      <c r="C567">
        <f t="shared" si="102"/>
        <v>0.1300005224209633</v>
      </c>
      <c r="D567">
        <f t="shared" si="103"/>
        <v>8.0000139312256885E-2</v>
      </c>
      <c r="E567">
        <f t="shared" si="100"/>
        <v>7.999958805929494E-2</v>
      </c>
      <c r="P567">
        <f t="shared" si="104"/>
        <v>0</v>
      </c>
      <c r="Q567">
        <f t="shared" si="105"/>
        <v>0</v>
      </c>
    </row>
    <row r="568" spans="1:17" x14ac:dyDescent="0.45">
      <c r="A568">
        <v>2.80499999999997</v>
      </c>
      <c r="B568">
        <f t="shared" si="101"/>
        <v>2.9999490477656252E-2</v>
      </c>
      <c r="C568">
        <f t="shared" si="102"/>
        <v>0.13000050952234377</v>
      </c>
      <c r="D568">
        <f t="shared" si="103"/>
        <v>8.0000135872625E-2</v>
      </c>
      <c r="E568">
        <f t="shared" si="100"/>
        <v>7.9999598854321993E-2</v>
      </c>
      <c r="P568">
        <f t="shared" si="104"/>
        <v>0</v>
      </c>
      <c r="Q568">
        <f t="shared" si="105"/>
        <v>0</v>
      </c>
    </row>
    <row r="569" spans="1:17" x14ac:dyDescent="0.45">
      <c r="A569">
        <v>2.8099999999999699</v>
      </c>
      <c r="B569">
        <f t="shared" si="101"/>
        <v>2.9999503057807742E-2</v>
      </c>
      <c r="C569">
        <f t="shared" si="102"/>
        <v>0.13000049694219226</v>
      </c>
      <c r="D569">
        <f t="shared" si="103"/>
        <v>8.0000132517917932E-2</v>
      </c>
      <c r="E569">
        <f t="shared" si="100"/>
        <v>7.9999609652389739E-2</v>
      </c>
      <c r="P569">
        <f t="shared" si="104"/>
        <v>0</v>
      </c>
      <c r="Q569">
        <f t="shared" si="105"/>
        <v>0</v>
      </c>
    </row>
    <row r="570" spans="1:17" x14ac:dyDescent="0.45">
      <c r="A570">
        <v>2.8149999999999702</v>
      </c>
      <c r="B570">
        <f t="shared" si="101"/>
        <v>2.999951532735419E-2</v>
      </c>
      <c r="C570">
        <f t="shared" si="102"/>
        <v>0.1300004846726458</v>
      </c>
      <c r="D570">
        <f t="shared" si="103"/>
        <v>8.0000129246038887E-2</v>
      </c>
      <c r="E570">
        <f t="shared" si="100"/>
        <v>7.9999620439096211E-2</v>
      </c>
      <c r="P570">
        <f t="shared" si="104"/>
        <v>0</v>
      </c>
      <c r="Q570">
        <f t="shared" si="105"/>
        <v>0</v>
      </c>
    </row>
    <row r="571" spans="1:17" x14ac:dyDescent="0.45">
      <c r="A571">
        <v>2.8199999999999701</v>
      </c>
      <c r="B571">
        <f t="shared" si="101"/>
        <v>2.9999527293964448E-2</v>
      </c>
      <c r="C571">
        <f t="shared" si="102"/>
        <v>0.13000047270603554</v>
      </c>
      <c r="D571">
        <f t="shared" si="103"/>
        <v>8.0000126054942819E-2</v>
      </c>
      <c r="E571">
        <f t="shared" si="100"/>
        <v>7.9999631200756843E-2</v>
      </c>
      <c r="P571">
        <f t="shared" si="104"/>
        <v>0</v>
      </c>
      <c r="Q571">
        <f t="shared" si="105"/>
        <v>0</v>
      </c>
    </row>
    <row r="572" spans="1:17" x14ac:dyDescent="0.45">
      <c r="A572">
        <v>2.82499999999997</v>
      </c>
      <c r="B572">
        <f t="shared" si="101"/>
        <v>2.9999538965118047E-2</v>
      </c>
      <c r="C572">
        <f t="shared" si="102"/>
        <v>0.13000046103488194</v>
      </c>
      <c r="D572">
        <f t="shared" si="103"/>
        <v>8.0000122942635185E-2</v>
      </c>
      <c r="E572">
        <f t="shared" si="100"/>
        <v>7.9999641924387521E-2</v>
      </c>
      <c r="P572">
        <f t="shared" si="104"/>
        <v>0</v>
      </c>
      <c r="Q572">
        <f t="shared" si="105"/>
        <v>0</v>
      </c>
    </row>
    <row r="573" spans="1:17" x14ac:dyDescent="0.45">
      <c r="A573">
        <v>2.8299999999999699</v>
      </c>
      <c r="B573">
        <f t="shared" si="101"/>
        <v>2.9999550348109846E-2</v>
      </c>
      <c r="C573">
        <f t="shared" si="102"/>
        <v>0.13000044965189017</v>
      </c>
      <c r="D573">
        <f t="shared" si="103"/>
        <v>8.0000119907170708E-2</v>
      </c>
      <c r="E573">
        <f t="shared" si="100"/>
        <v>7.9999652597687571E-2</v>
      </c>
      <c r="P573">
        <f t="shared" si="104"/>
        <v>0</v>
      </c>
      <c r="Q573">
        <f t="shared" si="105"/>
        <v>0</v>
      </c>
    </row>
    <row r="574" spans="1:17" x14ac:dyDescent="0.45">
      <c r="A574">
        <v>2.8349999999999702</v>
      </c>
      <c r="B574">
        <f t="shared" si="101"/>
        <v>2.9999561450054571E-2</v>
      </c>
      <c r="C574">
        <f t="shared" si="102"/>
        <v>0.13000043854994542</v>
      </c>
      <c r="D574">
        <f t="shared" si="103"/>
        <v>8.0000116946652114E-2</v>
      </c>
      <c r="E574">
        <f t="shared" si="100"/>
        <v>7.9999663209022701E-2</v>
      </c>
      <c r="P574">
        <f t="shared" si="104"/>
        <v>0</v>
      </c>
      <c r="Q574">
        <f t="shared" si="105"/>
        <v>0</v>
      </c>
    </row>
    <row r="575" spans="1:17" x14ac:dyDescent="0.45">
      <c r="A575">
        <v>2.8399999999999701</v>
      </c>
      <c r="B575">
        <f t="shared" si="101"/>
        <v>2.9999572277891295E-2</v>
      </c>
      <c r="C575">
        <f t="shared" si="102"/>
        <v>0.13000042772210871</v>
      </c>
      <c r="D575">
        <f t="shared" si="103"/>
        <v>8.0000114059228994E-2</v>
      </c>
      <c r="E575">
        <f t="shared" si="100"/>
        <v>7.9999673747407768E-2</v>
      </c>
      <c r="P575">
        <f t="shared" si="104"/>
        <v>0</v>
      </c>
      <c r="Q575">
        <f t="shared" si="105"/>
        <v>0</v>
      </c>
    </row>
    <row r="576" spans="1:17" x14ac:dyDescent="0.45">
      <c r="A576">
        <v>2.84499999999997</v>
      </c>
      <c r="B576">
        <f t="shared" si="101"/>
        <v>2.9999582838387787E-2</v>
      </c>
      <c r="C576">
        <f t="shared" si="102"/>
        <v>0.1300004171616122</v>
      </c>
      <c r="D576">
        <f t="shared" si="103"/>
        <v>8.0000111243096583E-2</v>
      </c>
      <c r="E576">
        <f t="shared" si="100"/>
        <v>7.9999684202489735E-2</v>
      </c>
      <c r="P576">
        <f t="shared" si="104"/>
        <v>0</v>
      </c>
      <c r="Q576">
        <f t="shared" si="105"/>
        <v>0</v>
      </c>
    </row>
    <row r="577" spans="1:17" x14ac:dyDescent="0.45">
      <c r="A577">
        <v>2.8499999999999699</v>
      </c>
      <c r="B577">
        <f t="shared" si="101"/>
        <v>2.9999593138144695E-2</v>
      </c>
      <c r="C577">
        <f t="shared" si="102"/>
        <v>0.13000040686185532</v>
      </c>
      <c r="D577">
        <f t="shared" si="103"/>
        <v>8.0000108496494748E-2</v>
      </c>
      <c r="E577">
        <f t="shared" si="100"/>
        <v>7.9999694564530405E-2</v>
      </c>
      <c r="P577">
        <f t="shared" si="104"/>
        <v>0</v>
      </c>
      <c r="Q577">
        <f t="shared" si="105"/>
        <v>0</v>
      </c>
    </row>
    <row r="578" spans="1:17" x14ac:dyDescent="0.45">
      <c r="A578">
        <v>2.8549999999999698</v>
      </c>
      <c r="B578">
        <f t="shared" si="101"/>
        <v>2.9999603183599691E-2</v>
      </c>
      <c r="C578">
        <f t="shared" si="102"/>
        <v>0.1300003968164003</v>
      </c>
      <c r="D578">
        <f t="shared" si="103"/>
        <v>8.0000105817706751E-2</v>
      </c>
      <c r="E578">
        <f t="shared" si="100"/>
        <v>7.9999704824389353E-2</v>
      </c>
      <c r="P578">
        <f t="shared" si="104"/>
        <v>0</v>
      </c>
      <c r="Q578">
        <f t="shared" si="105"/>
        <v>0</v>
      </c>
    </row>
    <row r="579" spans="1:17" x14ac:dyDescent="0.45">
      <c r="A579">
        <v>2.8599999999999701</v>
      </c>
      <c r="B579">
        <f t="shared" si="101"/>
        <v>2.9999612981031529E-2</v>
      </c>
      <c r="C579">
        <f t="shared" si="102"/>
        <v>0.13000038701896849</v>
      </c>
      <c r="D579">
        <f t="shared" si="103"/>
        <v>8.0000103205058265E-2</v>
      </c>
      <c r="E579">
        <f t="shared" si="100"/>
        <v>7.999971497350683E-2</v>
      </c>
      <c r="P579">
        <f t="shared" si="104"/>
        <v>0</v>
      </c>
      <c r="Q579">
        <f t="shared" si="105"/>
        <v>0</v>
      </c>
    </row>
    <row r="580" spans="1:17" x14ac:dyDescent="0.45">
      <c r="A580">
        <v>2.86499999999997</v>
      </c>
      <c r="B580">
        <f t="shared" si="101"/>
        <v>2.9999622536563908E-2</v>
      </c>
      <c r="C580">
        <f t="shared" si="102"/>
        <v>0.1300003774634361</v>
      </c>
      <c r="D580">
        <f t="shared" si="103"/>
        <v>8.000010065691629E-2</v>
      </c>
      <c r="E580">
        <f t="shared" si="100"/>
        <v>7.9999725003886732E-2</v>
      </c>
      <c r="P580">
        <f t="shared" si="104"/>
        <v>0</v>
      </c>
      <c r="Q580">
        <f t="shared" si="105"/>
        <v>0</v>
      </c>
    </row>
    <row r="581" spans="1:17" x14ac:dyDescent="0.45">
      <c r="A581">
        <v>2.8699999999999699</v>
      </c>
      <c r="B581">
        <f t="shared" si="101"/>
        <v>2.9999631856169356E-2</v>
      </c>
      <c r="C581">
        <f t="shared" si="102"/>
        <v>0.13000036814383065</v>
      </c>
      <c r="D581">
        <f t="shared" si="103"/>
        <v>8.0000098171688169E-2</v>
      </c>
      <c r="E581">
        <f t="shared" si="100"/>
        <v>7.9999734908079628E-2</v>
      </c>
      <c r="P581">
        <f t="shared" si="104"/>
        <v>0</v>
      </c>
      <c r="Q581">
        <f t="shared" si="105"/>
        <v>0</v>
      </c>
    </row>
    <row r="582" spans="1:17" x14ac:dyDescent="0.45">
      <c r="A582">
        <v>2.8749999999999698</v>
      </c>
      <c r="B582">
        <f t="shared" si="101"/>
        <v>2.9999640945672909E-2</v>
      </c>
      <c r="C582">
        <f t="shared" si="102"/>
        <v>0.13000035905432711</v>
      </c>
      <c r="D582">
        <f t="shared" si="103"/>
        <v>8.0000095747820563E-2</v>
      </c>
      <c r="E582">
        <f t="shared" si="100"/>
        <v>7.9999744679166013E-2</v>
      </c>
      <c r="P582">
        <f t="shared" si="104"/>
        <v>0</v>
      </c>
      <c r="Q582">
        <f t="shared" si="105"/>
        <v>0</v>
      </c>
    </row>
    <row r="583" spans="1:17" x14ac:dyDescent="0.45">
      <c r="A583">
        <v>2.8799999999999701</v>
      </c>
      <c r="B583">
        <f t="shared" si="101"/>
        <v>2.9999649810755841E-2</v>
      </c>
      <c r="C583">
        <f t="shared" si="102"/>
        <v>0.13000035018924416</v>
      </c>
      <c r="D583">
        <f t="shared" si="103"/>
        <v>8.0000093383798446E-2</v>
      </c>
      <c r="E583">
        <f t="shared" ref="E583:E646" si="106">P0-SIGN(DeltaThetaDeg)*EXP(-Xi*Wn*A583)*(COS(Wd*A583)-(Xi*Wn-1)/(Wd)*SIN(Wd*A583))*Ppeak</f>
        <v>7.9999754310739538E-2</v>
      </c>
      <c r="P583">
        <f t="shared" si="104"/>
        <v>0</v>
      </c>
      <c r="Q583">
        <f t="shared" si="105"/>
        <v>0</v>
      </c>
    </row>
    <row r="584" spans="1:17" x14ac:dyDescent="0.45">
      <c r="A584">
        <v>2.88499999999997</v>
      </c>
      <c r="B584">
        <f t="shared" si="101"/>
        <v>2.999965845695908E-2</v>
      </c>
      <c r="C584">
        <f t="shared" si="102"/>
        <v>0.13000034154304091</v>
      </c>
      <c r="D584">
        <f t="shared" si="103"/>
        <v>8.000009107814425E-2</v>
      </c>
      <c r="E584">
        <f t="shared" si="106"/>
        <v>7.9999763796890458E-2</v>
      </c>
      <c r="P584">
        <f t="shared" si="104"/>
        <v>0</v>
      </c>
      <c r="Q584">
        <f t="shared" si="105"/>
        <v>0</v>
      </c>
    </row>
    <row r="585" spans="1:17" x14ac:dyDescent="0.45">
      <c r="A585">
        <v>2.8899999999999699</v>
      </c>
      <c r="B585">
        <f t="shared" ref="B585:B648" si="107">P0-Ppeak*(1+Marge_haute)*EXP(-Sigma*A583)-Tunnel</f>
        <v>2.9999666889686805E-2</v>
      </c>
      <c r="C585">
        <f t="shared" ref="C585:C648" si="108">P0+Ppeak*(1+Marge_haute)*EXP(-Sigma*A583)+Tunnel</f>
        <v>0.1300003331103132</v>
      </c>
      <c r="D585">
        <f t="shared" ref="D585:D648" si="109">P0-SIGN(DeltaThetaDeg)*Marge_basse*Ppeak*EXP(-Sigma*A583)</f>
        <v>8.0000088829416852E-2</v>
      </c>
      <c r="E585">
        <f t="shared" si="106"/>
        <v>7.9999773132189186E-2</v>
      </c>
      <c r="P585">
        <f t="shared" si="104"/>
        <v>0</v>
      </c>
      <c r="Q585">
        <f t="shared" si="105"/>
        <v>0</v>
      </c>
    </row>
    <row r="586" spans="1:17" x14ac:dyDescent="0.45">
      <c r="A586">
        <v>2.8949999999999698</v>
      </c>
      <c r="B586">
        <f t="shared" si="107"/>
        <v>2.9999675114209742E-2</v>
      </c>
      <c r="C586">
        <f t="shared" si="108"/>
        <v>0.13000032488579027</v>
      </c>
      <c r="D586">
        <f t="shared" si="109"/>
        <v>8.0000086636210735E-2</v>
      </c>
      <c r="E586">
        <f t="shared" si="106"/>
        <v>7.9999782311670112E-2</v>
      </c>
      <c r="P586">
        <f t="shared" si="104"/>
        <v>0</v>
      </c>
      <c r="Q586">
        <f t="shared" si="105"/>
        <v>0</v>
      </c>
    </row>
    <row r="587" spans="1:17" x14ac:dyDescent="0.45">
      <c r="A587">
        <v>2.8999999999999702</v>
      </c>
      <c r="B587">
        <f t="shared" si="107"/>
        <v>2.999968313566849E-2</v>
      </c>
      <c r="C587">
        <f t="shared" si="108"/>
        <v>0.1300003168643315</v>
      </c>
      <c r="D587">
        <f t="shared" si="109"/>
        <v>8.0000084497155066E-2</v>
      </c>
      <c r="E587">
        <f t="shared" si="106"/>
        <v>7.9999791330815445E-2</v>
      </c>
      <c r="P587">
        <f t="shared" ref="P587:P650" si="110">IF(EMT_simulation,N583,N587)</f>
        <v>0</v>
      </c>
      <c r="Q587">
        <f t="shared" ref="Q587:Q650" si="111">IF(EMT_simulation,O583,O587)</f>
        <v>0</v>
      </c>
    </row>
    <row r="588" spans="1:17" x14ac:dyDescent="0.45">
      <c r="A588">
        <v>2.9049999999999701</v>
      </c>
      <c r="B588">
        <f t="shared" si="107"/>
        <v>2.9999690959076702E-2</v>
      </c>
      <c r="C588">
        <f t="shared" si="108"/>
        <v>0.1300003090409233</v>
      </c>
      <c r="D588">
        <f t="shared" si="109"/>
        <v>8.0000082410912873E-2</v>
      </c>
      <c r="E588">
        <f t="shared" si="106"/>
        <v>7.9999800185539399E-2</v>
      </c>
      <c r="P588">
        <f t="shared" si="110"/>
        <v>0</v>
      </c>
      <c r="Q588">
        <f t="shared" si="111"/>
        <v>0</v>
      </c>
    </row>
    <row r="589" spans="1:17" x14ac:dyDescent="0.45">
      <c r="A589">
        <v>2.9099999999999699</v>
      </c>
      <c r="B589">
        <f t="shared" si="107"/>
        <v>2.9999698589324289E-2</v>
      </c>
      <c r="C589">
        <f t="shared" si="108"/>
        <v>0.1300003014106757</v>
      </c>
      <c r="D589">
        <f t="shared" si="109"/>
        <v>8.0000080376180185E-2</v>
      </c>
      <c r="E589">
        <f t="shared" si="106"/>
        <v>7.9999808872172479E-2</v>
      </c>
      <c r="P589">
        <f t="shared" si="110"/>
        <v>0</v>
      </c>
      <c r="Q589">
        <f t="shared" si="111"/>
        <v>0</v>
      </c>
    </row>
    <row r="590" spans="1:17" x14ac:dyDescent="0.45">
      <c r="A590">
        <v>2.9149999999999698</v>
      </c>
      <c r="B590">
        <f t="shared" si="107"/>
        <v>2.9999706031180393E-2</v>
      </c>
      <c r="C590">
        <f t="shared" si="108"/>
        <v>0.13000029396881962</v>
      </c>
      <c r="D590">
        <f t="shared" si="109"/>
        <v>8.0000078391685228E-2</v>
      </c>
      <c r="E590">
        <f t="shared" si="106"/>
        <v>7.9999817387446048E-2</v>
      </c>
      <c r="P590">
        <f t="shared" si="110"/>
        <v>0</v>
      </c>
      <c r="Q590">
        <f t="shared" si="111"/>
        <v>0</v>
      </c>
    </row>
    <row r="591" spans="1:17" x14ac:dyDescent="0.45">
      <c r="A591">
        <v>2.9199999999999702</v>
      </c>
      <c r="B591">
        <f t="shared" si="107"/>
        <v>2.9999713289296404E-2</v>
      </c>
      <c r="C591">
        <f t="shared" si="108"/>
        <v>0.1300002867107036</v>
      </c>
      <c r="D591">
        <f t="shared" si="109"/>
        <v>8.0000076456187633E-2</v>
      </c>
      <c r="E591">
        <f t="shared" si="106"/>
        <v>7.9999825728477081E-2</v>
      </c>
      <c r="P591">
        <f t="shared" si="110"/>
        <v>0</v>
      </c>
      <c r="Q591">
        <f t="shared" si="111"/>
        <v>0</v>
      </c>
    </row>
    <row r="592" spans="1:17" x14ac:dyDescent="0.45">
      <c r="A592">
        <v>2.9249999999999701</v>
      </c>
      <c r="B592">
        <f t="shared" si="107"/>
        <v>2.9999720368208901E-2</v>
      </c>
      <c r="C592">
        <f t="shared" si="108"/>
        <v>0.13000027963179112</v>
      </c>
      <c r="D592">
        <f t="shared" si="109"/>
        <v>8.000007456847763E-2</v>
      </c>
      <c r="E592">
        <f t="shared" si="106"/>
        <v>7.9999833892753142E-2</v>
      </c>
      <c r="P592">
        <f t="shared" si="110"/>
        <v>0</v>
      </c>
      <c r="Q592">
        <f t="shared" si="111"/>
        <v>0</v>
      </c>
    </row>
    <row r="593" spans="1:17" x14ac:dyDescent="0.45">
      <c r="A593">
        <v>2.92999999999997</v>
      </c>
      <c r="B593">
        <f t="shared" si="107"/>
        <v>2.9999727272342416E-2</v>
      </c>
      <c r="C593">
        <f t="shared" si="108"/>
        <v>0.13000027272765757</v>
      </c>
      <c r="D593">
        <f t="shared" si="109"/>
        <v>8.000007272737536E-2</v>
      </c>
      <c r="E593">
        <f t="shared" si="106"/>
        <v>7.9999841878117678E-2</v>
      </c>
      <c r="P593">
        <f t="shared" si="110"/>
        <v>0</v>
      </c>
      <c r="Q593">
        <f t="shared" si="111"/>
        <v>0</v>
      </c>
    </row>
    <row r="594" spans="1:17" x14ac:dyDescent="0.45">
      <c r="A594">
        <v>2.9349999999999699</v>
      </c>
      <c r="B594">
        <f t="shared" si="107"/>
        <v>2.9999734006012274E-2</v>
      </c>
      <c r="C594">
        <f t="shared" si="108"/>
        <v>0.13000026599398773</v>
      </c>
      <c r="D594">
        <f t="shared" si="109"/>
        <v>8.0000070931730061E-2</v>
      </c>
      <c r="E594">
        <f t="shared" si="106"/>
        <v>7.9999849682755447E-2</v>
      </c>
      <c r="P594">
        <f t="shared" si="110"/>
        <v>0</v>
      </c>
      <c r="Q594">
        <f t="shared" si="111"/>
        <v>0</v>
      </c>
    </row>
    <row r="595" spans="1:17" x14ac:dyDescent="0.45">
      <c r="A595">
        <v>2.9399999999999702</v>
      </c>
      <c r="B595">
        <f t="shared" si="107"/>
        <v>2.9999740573427233E-2</v>
      </c>
      <c r="C595">
        <f t="shared" si="108"/>
        <v>0.13000025942657278</v>
      </c>
      <c r="D595">
        <f t="shared" si="109"/>
        <v>8.0000069180419409E-2</v>
      </c>
      <c r="E595">
        <f t="shared" si="106"/>
        <v>7.9999857305178348E-2</v>
      </c>
      <c r="P595">
        <f t="shared" si="110"/>
        <v>0</v>
      </c>
      <c r="Q595">
        <f t="shared" si="111"/>
        <v>0</v>
      </c>
    </row>
    <row r="596" spans="1:17" x14ac:dyDescent="0.45">
      <c r="A596">
        <v>2.9449999999999701</v>
      </c>
      <c r="B596">
        <f t="shared" si="107"/>
        <v>2.9999746978692135E-2</v>
      </c>
      <c r="C596">
        <f t="shared" si="108"/>
        <v>0.13000025302130785</v>
      </c>
      <c r="D596">
        <f t="shared" si="109"/>
        <v>8.0000067472348765E-2</v>
      </c>
      <c r="E596">
        <f t="shared" si="106"/>
        <v>7.9999864744211321E-2</v>
      </c>
      <c r="P596">
        <f t="shared" si="110"/>
        <v>0</v>
      </c>
      <c r="Q596">
        <f t="shared" si="111"/>
        <v>0</v>
      </c>
    </row>
    <row r="597" spans="1:17" x14ac:dyDescent="0.45">
      <c r="A597">
        <v>2.94999999999997</v>
      </c>
      <c r="B597">
        <f t="shared" si="107"/>
        <v>2.9999753225810485E-2</v>
      </c>
      <c r="C597">
        <f t="shared" si="108"/>
        <v>0.13000024677418953</v>
      </c>
      <c r="D597">
        <f t="shared" si="109"/>
        <v>8.000006580645054E-2</v>
      </c>
      <c r="E597">
        <f t="shared" si="106"/>
        <v>7.9999871998978747E-2</v>
      </c>
      <c r="P597">
        <f t="shared" si="110"/>
        <v>0</v>
      </c>
      <c r="Q597">
        <f t="shared" si="111"/>
        <v>0</v>
      </c>
    </row>
    <row r="598" spans="1:17" x14ac:dyDescent="0.45">
      <c r="A598">
        <v>2.9549999999999601</v>
      </c>
      <c r="B598">
        <f t="shared" si="107"/>
        <v>2.9999759318686939E-2</v>
      </c>
      <c r="C598">
        <f t="shared" si="108"/>
        <v>0.13000024068131305</v>
      </c>
      <c r="D598">
        <f t="shared" si="109"/>
        <v>8.0000064181683483E-2</v>
      </c>
      <c r="E598">
        <f t="shared" si="106"/>
        <v>7.9999879068890917E-2</v>
      </c>
      <c r="P598">
        <f t="shared" si="110"/>
        <v>0</v>
      </c>
      <c r="Q598">
        <f t="shared" si="111"/>
        <v>0</v>
      </c>
    </row>
    <row r="599" spans="1:17" x14ac:dyDescent="0.45">
      <c r="A599">
        <v>2.95999999999996</v>
      </c>
      <c r="B599">
        <f t="shared" si="107"/>
        <v>2.9999765261129727E-2</v>
      </c>
      <c r="C599">
        <f t="shared" si="108"/>
        <v>0.13000023473887029</v>
      </c>
      <c r="D599">
        <f t="shared" si="109"/>
        <v>8.0000062597032073E-2</v>
      </c>
      <c r="E599">
        <f t="shared" si="106"/>
        <v>7.9999885953630903E-2</v>
      </c>
      <c r="P599">
        <f t="shared" si="110"/>
        <v>0</v>
      </c>
      <c r="Q599">
        <f t="shared" si="111"/>
        <v>0</v>
      </c>
    </row>
    <row r="600" spans="1:17" x14ac:dyDescent="0.45">
      <c r="A600">
        <v>2.9649999999999599</v>
      </c>
      <c r="B600">
        <f t="shared" si="107"/>
        <v>2.9999771056853086E-2</v>
      </c>
      <c r="C600">
        <f t="shared" si="108"/>
        <v>0.13000022894314692</v>
      </c>
      <c r="D600">
        <f t="shared" si="109"/>
        <v>8.0000061051505839E-2</v>
      </c>
      <c r="E600">
        <f t="shared" si="106"/>
        <v>7.9999892653141669E-2</v>
      </c>
      <c r="P600">
        <f t="shared" si="110"/>
        <v>0</v>
      </c>
      <c r="Q600">
        <f t="shared" si="111"/>
        <v>0</v>
      </c>
    </row>
    <row r="601" spans="1:17" x14ac:dyDescent="0.45">
      <c r="A601">
        <v>2.9699999999999598</v>
      </c>
      <c r="B601">
        <f t="shared" si="107"/>
        <v>2.9999776709479523E-2</v>
      </c>
      <c r="C601">
        <f t="shared" si="108"/>
        <v>0.13000022329052047</v>
      </c>
      <c r="D601">
        <f t="shared" si="109"/>
        <v>8.0000059544138788E-2</v>
      </c>
      <c r="E601">
        <f t="shared" si="106"/>
        <v>7.9999899167613436E-2</v>
      </c>
      <c r="P601">
        <f t="shared" si="110"/>
        <v>0</v>
      </c>
      <c r="Q601">
        <f t="shared" si="111"/>
        <v>0</v>
      </c>
    </row>
    <row r="602" spans="1:17" x14ac:dyDescent="0.45">
      <c r="A602">
        <v>2.9749999999999601</v>
      </c>
      <c r="B602">
        <f t="shared" si="107"/>
        <v>2.9999782222542126E-2</v>
      </c>
      <c r="C602">
        <f t="shared" si="108"/>
        <v>0.13000021777745788</v>
      </c>
      <c r="D602">
        <f t="shared" si="109"/>
        <v>8.0000058073988772E-2</v>
      </c>
      <c r="E602">
        <f t="shared" si="106"/>
        <v>7.9999905497471463E-2</v>
      </c>
      <c r="P602">
        <f t="shared" si="110"/>
        <v>0</v>
      </c>
      <c r="Q602">
        <f t="shared" si="111"/>
        <v>0</v>
      </c>
    </row>
    <row r="603" spans="1:17" x14ac:dyDescent="0.45">
      <c r="A603">
        <v>2.97999999999996</v>
      </c>
      <c r="B603">
        <f t="shared" si="107"/>
        <v>2.999978759948671E-2</v>
      </c>
      <c r="C603">
        <f t="shared" si="108"/>
        <v>0.13000021240051329</v>
      </c>
      <c r="D603">
        <f t="shared" si="109"/>
        <v>8.0000056640136874E-2</v>
      </c>
      <c r="E603">
        <f t="shared" si="106"/>
        <v>7.9999911643363897E-2</v>
      </c>
      <c r="P603">
        <f t="shared" si="110"/>
        <v>0</v>
      </c>
      <c r="Q603">
        <f t="shared" si="111"/>
        <v>0</v>
      </c>
    </row>
    <row r="604" spans="1:17" x14ac:dyDescent="0.45">
      <c r="A604">
        <v>2.9849999999999599</v>
      </c>
      <c r="B604">
        <f t="shared" si="107"/>
        <v>2.9999792843674072E-2</v>
      </c>
      <c r="C604">
        <f t="shared" si="108"/>
        <v>0.13000020715632593</v>
      </c>
      <c r="D604">
        <f t="shared" si="109"/>
        <v>8.0000055241686921E-2</v>
      </c>
      <c r="E604">
        <f t="shared" si="106"/>
        <v>7.9999917606150175E-2</v>
      </c>
      <c r="P604">
        <f t="shared" si="110"/>
        <v>0</v>
      </c>
      <c r="Q604">
        <f t="shared" si="111"/>
        <v>0</v>
      </c>
    </row>
    <row r="605" spans="1:17" x14ac:dyDescent="0.45">
      <c r="A605">
        <v>2.9899999999999598</v>
      </c>
      <c r="B605">
        <f t="shared" si="107"/>
        <v>2.999979795838198E-2</v>
      </c>
      <c r="C605">
        <f t="shared" si="108"/>
        <v>0.13000020204161802</v>
      </c>
      <c r="D605">
        <f t="shared" si="109"/>
        <v>8.0000053877764807E-2</v>
      </c>
      <c r="E605">
        <f t="shared" si="106"/>
        <v>7.9999923386889465E-2</v>
      </c>
      <c r="P605">
        <f t="shared" si="110"/>
        <v>0</v>
      </c>
      <c r="Q605">
        <f t="shared" si="111"/>
        <v>0</v>
      </c>
    </row>
    <row r="606" spans="1:17" x14ac:dyDescent="0.45">
      <c r="A606">
        <v>2.9949999999999601</v>
      </c>
      <c r="B606">
        <f t="shared" si="107"/>
        <v>2.9999802946807305E-2</v>
      </c>
      <c r="C606">
        <f t="shared" si="108"/>
        <v>0.13000019705319271</v>
      </c>
      <c r="D606">
        <f t="shared" si="109"/>
        <v>8.0000052547518047E-2</v>
      </c>
      <c r="E606">
        <f t="shared" si="106"/>
        <v>7.999992898682963E-2</v>
      </c>
      <c r="P606">
        <f t="shared" si="110"/>
        <v>0</v>
      </c>
      <c r="Q606">
        <f t="shared" si="111"/>
        <v>0</v>
      </c>
    </row>
    <row r="607" spans="1:17" x14ac:dyDescent="0.45">
      <c r="A607">
        <v>2.99999999999996</v>
      </c>
      <c r="B607">
        <f t="shared" si="107"/>
        <v>2.9999807812067972E-2</v>
      </c>
      <c r="C607">
        <f t="shared" si="108"/>
        <v>0.13000019218793202</v>
      </c>
      <c r="D607">
        <f t="shared" si="109"/>
        <v>8.0000051250115209E-2</v>
      </c>
      <c r="E607">
        <f t="shared" si="106"/>
        <v>7.9999934407396292E-2</v>
      </c>
      <c r="P607">
        <f t="shared" si="110"/>
        <v>0</v>
      </c>
      <c r="Q607">
        <f t="shared" si="111"/>
        <v>0</v>
      </c>
    </row>
    <row r="608" spans="1:17" x14ac:dyDescent="0.45">
      <c r="A608">
        <v>3.0049999999999599</v>
      </c>
      <c r="B608">
        <f t="shared" si="107"/>
        <v>2.9999812557204922E-2</v>
      </c>
      <c r="C608">
        <f t="shared" si="108"/>
        <v>0.13000018744279507</v>
      </c>
      <c r="D608">
        <f t="shared" si="109"/>
        <v>8.0000049984745358E-2</v>
      </c>
      <c r="E608">
        <f t="shared" si="106"/>
        <v>7.9999939650182372E-2</v>
      </c>
      <c r="P608">
        <f t="shared" si="110"/>
        <v>0</v>
      </c>
      <c r="Q608">
        <f t="shared" si="111"/>
        <v>0</v>
      </c>
    </row>
    <row r="609" spans="1:17" x14ac:dyDescent="0.45">
      <c r="A609">
        <v>3.0099999999999598</v>
      </c>
      <c r="B609">
        <f t="shared" si="107"/>
        <v>2.9999817185184019E-2</v>
      </c>
      <c r="C609">
        <f t="shared" si="108"/>
        <v>0.13000018281481598</v>
      </c>
      <c r="D609">
        <f t="shared" si="109"/>
        <v>8.00000487506176E-2</v>
      </c>
      <c r="E609">
        <f t="shared" si="106"/>
        <v>7.9999944716937721E-2</v>
      </c>
      <c r="P609">
        <f t="shared" si="110"/>
        <v>0</v>
      </c>
      <c r="Q609">
        <f t="shared" si="111"/>
        <v>0</v>
      </c>
    </row>
    <row r="610" spans="1:17" x14ac:dyDescent="0.45">
      <c r="A610">
        <v>3.0149999999999602</v>
      </c>
      <c r="B610">
        <f t="shared" si="107"/>
        <v>2.9999821698897908E-2</v>
      </c>
      <c r="C610">
        <f t="shared" si="108"/>
        <v>0.13000017830110211</v>
      </c>
      <c r="D610">
        <f t="shared" si="109"/>
        <v>8.0000047546960565E-2</v>
      </c>
      <c r="E610">
        <f t="shared" si="106"/>
        <v>7.9999949609559265E-2</v>
      </c>
      <c r="P610">
        <f t="shared" si="110"/>
        <v>0</v>
      </c>
      <c r="Q610">
        <f t="shared" si="111"/>
        <v>0</v>
      </c>
    </row>
    <row r="611" spans="1:17" x14ac:dyDescent="0.45">
      <c r="A611">
        <v>3.01999999999996</v>
      </c>
      <c r="B611">
        <f t="shared" si="107"/>
        <v>2.9999826101167804E-2</v>
      </c>
      <c r="C611">
        <f t="shared" si="108"/>
        <v>0.1300001738988322</v>
      </c>
      <c r="D611">
        <f t="shared" si="109"/>
        <v>8.0000046373021924E-2</v>
      </c>
      <c r="E611">
        <f t="shared" si="106"/>
        <v>7.9999954330081224E-2</v>
      </c>
      <c r="P611">
        <f t="shared" si="110"/>
        <v>0</v>
      </c>
      <c r="Q611">
        <f t="shared" si="111"/>
        <v>0</v>
      </c>
    </row>
    <row r="612" spans="1:17" x14ac:dyDescent="0.45">
      <c r="A612">
        <v>3.0249999999999599</v>
      </c>
      <c r="B612">
        <f t="shared" si="107"/>
        <v>2.9999830394745269E-2</v>
      </c>
      <c r="C612">
        <f t="shared" si="108"/>
        <v>0.13000016960525473</v>
      </c>
      <c r="D612">
        <f t="shared" si="109"/>
        <v>8.0000045228067931E-2</v>
      </c>
      <c r="E612">
        <f t="shared" si="106"/>
        <v>7.9999958880665828E-2</v>
      </c>
      <c r="P612">
        <f t="shared" si="110"/>
        <v>0</v>
      </c>
      <c r="Q612">
        <f t="shared" si="111"/>
        <v>0</v>
      </c>
    </row>
    <row r="613" spans="1:17" x14ac:dyDescent="0.45">
      <c r="A613">
        <v>3.0299999999999598</v>
      </c>
      <c r="B613">
        <f t="shared" si="107"/>
        <v>2.9999834582313922E-2</v>
      </c>
      <c r="C613">
        <f t="shared" si="108"/>
        <v>0.13000016541768608</v>
      </c>
      <c r="D613">
        <f t="shared" si="109"/>
        <v>8.0000044111382951E-2</v>
      </c>
      <c r="E613">
        <f t="shared" si="106"/>
        <v>7.9999963263594154E-2</v>
      </c>
      <c r="P613">
        <f t="shared" si="110"/>
        <v>0</v>
      </c>
      <c r="Q613">
        <f t="shared" si="111"/>
        <v>0</v>
      </c>
    </row>
    <row r="614" spans="1:17" x14ac:dyDescent="0.45">
      <c r="A614">
        <v>3.0349999999999602</v>
      </c>
      <c r="B614">
        <f t="shared" si="107"/>
        <v>2.9999838666491155E-2</v>
      </c>
      <c r="C614">
        <f t="shared" si="108"/>
        <v>0.13000016133350883</v>
      </c>
      <c r="D614">
        <f t="shared" si="109"/>
        <v>8.0000043022269027E-2</v>
      </c>
      <c r="E614">
        <f t="shared" si="106"/>
        <v>7.9999967481257331E-2</v>
      </c>
      <c r="P614">
        <f t="shared" si="110"/>
        <v>0</v>
      </c>
      <c r="Q614">
        <f t="shared" si="111"/>
        <v>0</v>
      </c>
    </row>
    <row r="615" spans="1:17" x14ac:dyDescent="0.45">
      <c r="A615">
        <v>3.0399999999999601</v>
      </c>
      <c r="B615">
        <f t="shared" si="107"/>
        <v>2.9999842649829675E-2</v>
      </c>
      <c r="C615">
        <f t="shared" si="108"/>
        <v>0.13000015735017034</v>
      </c>
      <c r="D615">
        <f t="shared" si="109"/>
        <v>8.0000041960045426E-2</v>
      </c>
      <c r="E615">
        <f t="shared" si="106"/>
        <v>7.9999971536148046E-2</v>
      </c>
      <c r="P615">
        <f t="shared" si="110"/>
        <v>0</v>
      </c>
      <c r="Q615">
        <f t="shared" si="111"/>
        <v>0</v>
      </c>
    </row>
    <row r="616" spans="1:17" x14ac:dyDescent="0.45">
      <c r="A616">
        <v>3.04499999999996</v>
      </c>
      <c r="B616">
        <f t="shared" si="107"/>
        <v>2.9999846534819227E-2</v>
      </c>
      <c r="C616">
        <f t="shared" si="108"/>
        <v>0.13000015346518079</v>
      </c>
      <c r="D616">
        <f t="shared" si="109"/>
        <v>8.0000040924048207E-2</v>
      </c>
      <c r="E616">
        <f t="shared" si="106"/>
        <v>7.9999975430852271E-2</v>
      </c>
      <c r="P616">
        <f t="shared" si="110"/>
        <v>0</v>
      </c>
      <c r="Q616">
        <f t="shared" si="111"/>
        <v>0</v>
      </c>
    </row>
    <row r="617" spans="1:17" x14ac:dyDescent="0.45">
      <c r="A617">
        <v>3.0499999999999599</v>
      </c>
      <c r="B617">
        <f t="shared" si="107"/>
        <v>2.9999850323888036E-2</v>
      </c>
      <c r="C617">
        <f t="shared" si="108"/>
        <v>0.13000014967611195</v>
      </c>
      <c r="D617">
        <f t="shared" si="109"/>
        <v>8.0000039913629861E-2</v>
      </c>
      <c r="E617">
        <f t="shared" si="106"/>
        <v>7.9999979168041302E-2</v>
      </c>
      <c r="P617">
        <f t="shared" si="110"/>
        <v>0</v>
      </c>
      <c r="Q617">
        <f t="shared" si="111"/>
        <v>0</v>
      </c>
    </row>
    <row r="618" spans="1:17" x14ac:dyDescent="0.45">
      <c r="A618">
        <v>3.0549999999999602</v>
      </c>
      <c r="B618">
        <f t="shared" si="107"/>
        <v>2.9999854019404401E-2</v>
      </c>
      <c r="C618">
        <f t="shared" si="108"/>
        <v>0.13000014598059562</v>
      </c>
      <c r="D618">
        <f t="shared" si="109"/>
        <v>8.0000038928158823E-2</v>
      </c>
      <c r="E618">
        <f t="shared" si="106"/>
        <v>7.9999982750464063E-2</v>
      </c>
      <c r="P618">
        <f t="shared" si="110"/>
        <v>0</v>
      </c>
      <c r="Q618">
        <f t="shared" si="111"/>
        <v>0</v>
      </c>
    </row>
    <row r="619" spans="1:17" x14ac:dyDescent="0.45">
      <c r="A619">
        <v>3.0599999999999601</v>
      </c>
      <c r="B619">
        <f t="shared" si="107"/>
        <v>2.9999857623678156E-2</v>
      </c>
      <c r="C619">
        <f t="shared" si="108"/>
        <v>0.13000014237632185</v>
      </c>
      <c r="D619">
        <f t="shared" si="109"/>
        <v>8.0000037967019155E-2</v>
      </c>
      <c r="E619">
        <f t="shared" si="106"/>
        <v>7.9999986180939744E-2</v>
      </c>
      <c r="P619">
        <f t="shared" si="110"/>
        <v>0</v>
      </c>
      <c r="Q619">
        <f t="shared" si="111"/>
        <v>0</v>
      </c>
    </row>
    <row r="620" spans="1:17" x14ac:dyDescent="0.45">
      <c r="A620">
        <v>3.06499999999996</v>
      </c>
      <c r="B620">
        <f t="shared" si="107"/>
        <v>2.9999861138962067E-2</v>
      </c>
      <c r="C620">
        <f t="shared" si="108"/>
        <v>0.13000013886103795</v>
      </c>
      <c r="D620">
        <f t="shared" si="109"/>
        <v>8.0000037029610116E-2</v>
      </c>
      <c r="E620">
        <f t="shared" si="106"/>
        <v>7.9999989462350596E-2</v>
      </c>
      <c r="P620">
        <f t="shared" si="110"/>
        <v>0</v>
      </c>
      <c r="Q620">
        <f t="shared" si="111"/>
        <v>0</v>
      </c>
    </row>
    <row r="621" spans="1:17" x14ac:dyDescent="0.45">
      <c r="A621">
        <v>3.0699999999999599</v>
      </c>
      <c r="B621">
        <f t="shared" si="107"/>
        <v>2.9999864567453308E-2</v>
      </c>
      <c r="C621">
        <f t="shared" si="108"/>
        <v>0.13000013543254668</v>
      </c>
      <c r="D621">
        <f t="shared" si="109"/>
        <v>8.0000036115345785E-2</v>
      </c>
      <c r="E621">
        <f t="shared" si="106"/>
        <v>7.9999992597635058E-2</v>
      </c>
      <c r="P621">
        <f t="shared" si="110"/>
        <v>0</v>
      </c>
      <c r="Q621">
        <f t="shared" si="111"/>
        <v>0</v>
      </c>
    </row>
    <row r="622" spans="1:17" x14ac:dyDescent="0.45">
      <c r="A622">
        <v>3.0749999999999602</v>
      </c>
      <c r="B622">
        <f t="shared" si="107"/>
        <v>2.9999867911294803E-2</v>
      </c>
      <c r="C622">
        <f t="shared" si="108"/>
        <v>0.1300001320887052</v>
      </c>
      <c r="D622">
        <f t="shared" si="109"/>
        <v>8.0000035223654717E-2</v>
      </c>
      <c r="E622">
        <f t="shared" si="106"/>
        <v>7.9999995589781173E-2</v>
      </c>
      <c r="P622">
        <f t="shared" si="110"/>
        <v>0</v>
      </c>
      <c r="Q622">
        <f t="shared" si="111"/>
        <v>0</v>
      </c>
    </row>
    <row r="623" spans="1:17" x14ac:dyDescent="0.45">
      <c r="A623">
        <v>3.0799999999999601</v>
      </c>
      <c r="B623">
        <f t="shared" si="107"/>
        <v>2.9999871172576548E-2</v>
      </c>
      <c r="C623">
        <f t="shared" si="108"/>
        <v>0.13000012882742346</v>
      </c>
      <c r="D623">
        <f t="shared" si="109"/>
        <v>8.0000034353979593E-2</v>
      </c>
      <c r="E623">
        <f t="shared" si="106"/>
        <v>7.9999998441820167E-2</v>
      </c>
      <c r="P623">
        <f t="shared" si="110"/>
        <v>0</v>
      </c>
      <c r="Q623">
        <f t="shared" si="111"/>
        <v>0</v>
      </c>
    </row>
    <row r="624" spans="1:17" x14ac:dyDescent="0.45">
      <c r="A624">
        <v>3.08499999999996</v>
      </c>
      <c r="B624">
        <f t="shared" si="107"/>
        <v>2.9999874353336967E-2</v>
      </c>
      <c r="C624">
        <f t="shared" si="108"/>
        <v>0.13000012564666302</v>
      </c>
      <c r="D624">
        <f t="shared" si="109"/>
        <v>8.0000033505776807E-2</v>
      </c>
      <c r="E624">
        <f t="shared" si="106"/>
        <v>8.0000001156820405E-2</v>
      </c>
      <c r="P624">
        <f t="shared" si="110"/>
        <v>0</v>
      </c>
      <c r="Q624">
        <f t="shared" si="111"/>
        <v>0</v>
      </c>
    </row>
    <row r="625" spans="1:17" x14ac:dyDescent="0.45">
      <c r="A625">
        <v>3.0899999999999599</v>
      </c>
      <c r="B625">
        <f t="shared" si="107"/>
        <v>2.9999877455564136E-2</v>
      </c>
      <c r="C625">
        <f t="shared" si="108"/>
        <v>0.13000012254443588</v>
      </c>
      <c r="D625">
        <f t="shared" si="109"/>
        <v>8.0000032678516228E-2</v>
      </c>
      <c r="E625">
        <f t="shared" si="106"/>
        <v>8.0000003737881492E-2</v>
      </c>
      <c r="P625">
        <f t="shared" si="110"/>
        <v>0</v>
      </c>
      <c r="Q625">
        <f t="shared" si="111"/>
        <v>0</v>
      </c>
    </row>
    <row r="626" spans="1:17" x14ac:dyDescent="0.45">
      <c r="A626">
        <v>3.0949999999999598</v>
      </c>
      <c r="B626">
        <f t="shared" si="107"/>
        <v>2.9999880481197033E-2</v>
      </c>
      <c r="C626">
        <f t="shared" si="108"/>
        <v>0.13000011951880297</v>
      </c>
      <c r="D626">
        <f t="shared" si="109"/>
        <v>8.0000031871680796E-2</v>
      </c>
      <c r="E626">
        <f t="shared" si="106"/>
        <v>8.0000006188128678E-2</v>
      </c>
      <c r="P626">
        <f t="shared" si="110"/>
        <v>0</v>
      </c>
      <c r="Q626">
        <f t="shared" si="111"/>
        <v>0</v>
      </c>
    </row>
    <row r="627" spans="1:17" x14ac:dyDescent="0.45">
      <c r="A627">
        <v>3.0999999999999601</v>
      </c>
      <c r="B627">
        <f t="shared" si="107"/>
        <v>2.9999883432126798E-2</v>
      </c>
      <c r="C627">
        <f t="shared" si="108"/>
        <v>0.13000011656787319</v>
      </c>
      <c r="D627">
        <f t="shared" si="109"/>
        <v>8.0000031084766193E-2</v>
      </c>
      <c r="E627">
        <f t="shared" si="106"/>
        <v>8.0000008510707432E-2</v>
      </c>
      <c r="P627">
        <f t="shared" si="110"/>
        <v>0</v>
      </c>
      <c r="Q627">
        <f t="shared" si="111"/>
        <v>0</v>
      </c>
    </row>
    <row r="628" spans="1:17" x14ac:dyDescent="0.45">
      <c r="A628">
        <v>3.10499999999996</v>
      </c>
      <c r="B628">
        <f t="shared" si="107"/>
        <v>2.9999886310197843E-2</v>
      </c>
      <c r="C628">
        <f t="shared" si="108"/>
        <v>0.13000011368980216</v>
      </c>
      <c r="D628">
        <f t="shared" si="109"/>
        <v>8.0000030317280577E-2</v>
      </c>
      <c r="E628">
        <f t="shared" si="106"/>
        <v>8.000001070877838E-2</v>
      </c>
      <c r="P628">
        <f t="shared" si="110"/>
        <v>0</v>
      </c>
      <c r="Q628">
        <f t="shared" si="111"/>
        <v>0</v>
      </c>
    </row>
    <row r="629" spans="1:17" x14ac:dyDescent="0.45">
      <c r="A629">
        <v>3.1099999999999599</v>
      </c>
      <c r="B629">
        <f t="shared" si="107"/>
        <v>2.999988911720905E-2</v>
      </c>
      <c r="C629">
        <f t="shared" si="108"/>
        <v>0.13000011088279095</v>
      </c>
      <c r="D629">
        <f t="shared" si="109"/>
        <v>8.0000029568744246E-2</v>
      </c>
      <c r="E629">
        <f t="shared" si="106"/>
        <v>8.0000012785512345E-2</v>
      </c>
      <c r="P629">
        <f t="shared" si="110"/>
        <v>0</v>
      </c>
      <c r="Q629">
        <f t="shared" si="111"/>
        <v>0</v>
      </c>
    </row>
    <row r="630" spans="1:17" x14ac:dyDescent="0.45">
      <c r="A630">
        <v>3.1149999999999598</v>
      </c>
      <c r="B630">
        <f t="shared" si="107"/>
        <v>2.9999891854914917E-2</v>
      </c>
      <c r="C630">
        <f t="shared" si="108"/>
        <v>0.13000010814508509</v>
      </c>
      <c r="D630">
        <f t="shared" si="109"/>
        <v>8.0000028838689355E-2</v>
      </c>
      <c r="E630">
        <f t="shared" si="106"/>
        <v>8.0000014744085662E-2</v>
      </c>
      <c r="P630">
        <f t="shared" si="110"/>
        <v>0</v>
      </c>
      <c r="Q630">
        <f t="shared" si="111"/>
        <v>0</v>
      </c>
    </row>
    <row r="631" spans="1:17" x14ac:dyDescent="0.45">
      <c r="A631">
        <v>3.1199999999999601</v>
      </c>
      <c r="B631">
        <f t="shared" si="107"/>
        <v>2.9999894525026577E-2</v>
      </c>
      <c r="C631">
        <f t="shared" si="108"/>
        <v>0.13000010547497343</v>
      </c>
      <c r="D631">
        <f t="shared" si="109"/>
        <v>8.0000028126659573E-2</v>
      </c>
      <c r="E631">
        <f t="shared" si="106"/>
        <v>8.0000016587675749E-2</v>
      </c>
      <c r="P631">
        <f t="shared" si="110"/>
        <v>0</v>
      </c>
      <c r="Q631">
        <f t="shared" si="111"/>
        <v>0</v>
      </c>
    </row>
    <row r="632" spans="1:17" x14ac:dyDescent="0.45">
      <c r="A632">
        <v>3.12499999999996</v>
      </c>
      <c r="B632">
        <f t="shared" si="107"/>
        <v>2.9999897129212957E-2</v>
      </c>
      <c r="C632">
        <f t="shared" si="108"/>
        <v>0.13000010287078706</v>
      </c>
      <c r="D632">
        <f t="shared" si="109"/>
        <v>8.000002743220988E-2</v>
      </c>
      <c r="E632">
        <f t="shared" si="106"/>
        <v>8.0000018319456814E-2</v>
      </c>
      <c r="P632">
        <f t="shared" si="110"/>
        <v>0</v>
      </c>
      <c r="Q632">
        <f t="shared" si="111"/>
        <v>0</v>
      </c>
    </row>
    <row r="633" spans="1:17" x14ac:dyDescent="0.45">
      <c r="A633">
        <v>3.1299999999999599</v>
      </c>
      <c r="B633">
        <f t="shared" si="107"/>
        <v>2.9999899669101743E-2</v>
      </c>
      <c r="C633">
        <f t="shared" si="108"/>
        <v>0.13000010033089826</v>
      </c>
      <c r="D633">
        <f t="shared" si="109"/>
        <v>8.0000026754906209E-2</v>
      </c>
      <c r="E633">
        <f t="shared" si="106"/>
        <v>8.0000019942595868E-2</v>
      </c>
      <c r="P633">
        <f t="shared" si="110"/>
        <v>0</v>
      </c>
      <c r="Q633">
        <f t="shared" si="111"/>
        <v>0</v>
      </c>
    </row>
    <row r="634" spans="1:17" x14ac:dyDescent="0.45">
      <c r="A634">
        <v>3.1349999999999598</v>
      </c>
      <c r="B634">
        <f t="shared" si="107"/>
        <v>2.9999902146280441E-2</v>
      </c>
      <c r="C634">
        <f t="shared" si="108"/>
        <v>0.13000009785371958</v>
      </c>
      <c r="D634">
        <f t="shared" si="109"/>
        <v>8.0000026094325216E-2</v>
      </c>
      <c r="E634">
        <f t="shared" si="106"/>
        <v>8.0000021460248857E-2</v>
      </c>
      <c r="P634">
        <f t="shared" si="110"/>
        <v>0</v>
      </c>
      <c r="Q634">
        <f t="shared" si="111"/>
        <v>0</v>
      </c>
    </row>
    <row r="635" spans="1:17" x14ac:dyDescent="0.45">
      <c r="A635">
        <v>3.1399999999999602</v>
      </c>
      <c r="B635">
        <f t="shared" si="107"/>
        <v>2.9999904562297383E-2</v>
      </c>
      <c r="C635">
        <f t="shared" si="108"/>
        <v>0.13000009543770263</v>
      </c>
      <c r="D635">
        <f t="shared" si="109"/>
        <v>8.0000025450054038E-2</v>
      </c>
      <c r="E635">
        <f t="shared" si="106"/>
        <v>8.0000022875557089E-2</v>
      </c>
      <c r="P635">
        <f t="shared" si="110"/>
        <v>0</v>
      </c>
      <c r="Q635">
        <f t="shared" si="111"/>
        <v>0</v>
      </c>
    </row>
    <row r="636" spans="1:17" x14ac:dyDescent="0.45">
      <c r="A636">
        <v>3.14499999999996</v>
      </c>
      <c r="B636">
        <f t="shared" si="107"/>
        <v>2.9999906918662653E-2</v>
      </c>
      <c r="C636">
        <f t="shared" si="108"/>
        <v>0.13000009308133736</v>
      </c>
      <c r="D636">
        <f t="shared" si="109"/>
        <v>8.0000024821689955E-2</v>
      </c>
      <c r="E636">
        <f t="shared" si="106"/>
        <v>8.0000024191643732E-2</v>
      </c>
      <c r="P636">
        <f t="shared" si="110"/>
        <v>0</v>
      </c>
      <c r="Q636">
        <f t="shared" si="111"/>
        <v>0</v>
      </c>
    </row>
    <row r="637" spans="1:17" x14ac:dyDescent="0.45">
      <c r="A637">
        <v>3.1499999999999599</v>
      </c>
      <c r="B637">
        <f t="shared" si="107"/>
        <v>2.9999909216849072E-2</v>
      </c>
      <c r="C637">
        <f t="shared" si="108"/>
        <v>0.13000009078315095</v>
      </c>
      <c r="D637">
        <f t="shared" si="109"/>
        <v>8.0000024208840254E-2</v>
      </c>
      <c r="E637">
        <f t="shared" si="106"/>
        <v>8.0000025411610595E-2</v>
      </c>
      <c r="P637">
        <f t="shared" si="110"/>
        <v>0</v>
      </c>
      <c r="Q637">
        <f t="shared" si="111"/>
        <v>0</v>
      </c>
    </row>
    <row r="638" spans="1:17" x14ac:dyDescent="0.45">
      <c r="A638">
        <v>3.1549999999999598</v>
      </c>
      <c r="B638">
        <f t="shared" si="107"/>
        <v>2.9999911458293047E-2</v>
      </c>
      <c r="C638">
        <f t="shared" si="108"/>
        <v>0.13000008854170697</v>
      </c>
      <c r="D638">
        <f t="shared" si="109"/>
        <v>8.0000023611121851E-2</v>
      </c>
      <c r="E638">
        <f t="shared" si="106"/>
        <v>8.0000026538535149E-2</v>
      </c>
      <c r="P638">
        <f t="shared" si="110"/>
        <v>0</v>
      </c>
      <c r="Q638">
        <f t="shared" si="111"/>
        <v>0</v>
      </c>
    </row>
    <row r="639" spans="1:17" x14ac:dyDescent="0.45">
      <c r="A639">
        <v>3.1599999999999602</v>
      </c>
      <c r="B639">
        <f t="shared" si="107"/>
        <v>2.9999913644395582E-2</v>
      </c>
      <c r="C639">
        <f t="shared" si="108"/>
        <v>0.13000008635560442</v>
      </c>
      <c r="D639">
        <f t="shared" si="109"/>
        <v>8.0000023028161185E-2</v>
      </c>
      <c r="E639">
        <f t="shared" si="106"/>
        <v>8.000002757546755E-2</v>
      </c>
      <c r="P639">
        <f t="shared" si="110"/>
        <v>0</v>
      </c>
      <c r="Q639">
        <f t="shared" si="111"/>
        <v>0</v>
      </c>
    </row>
    <row r="640" spans="1:17" x14ac:dyDescent="0.45">
      <c r="A640">
        <v>3.1649999999999601</v>
      </c>
      <c r="B640">
        <f t="shared" si="107"/>
        <v>2.9999915776523056E-2</v>
      </c>
      <c r="C640">
        <f t="shared" si="108"/>
        <v>0.13000008422347695</v>
      </c>
      <c r="D640">
        <f t="shared" si="109"/>
        <v>8.0000022459593853E-2</v>
      </c>
      <c r="E640">
        <f t="shared" si="106"/>
        <v>8.000002852542798E-2</v>
      </c>
      <c r="P640">
        <f t="shared" si="110"/>
        <v>0</v>
      </c>
      <c r="Q640">
        <f t="shared" si="111"/>
        <v>0</v>
      </c>
    </row>
    <row r="641" spans="1:17" x14ac:dyDescent="0.45">
      <c r="A641">
        <v>3.16999999999996</v>
      </c>
      <c r="B641">
        <f t="shared" si="107"/>
        <v>2.9999917856008113E-2</v>
      </c>
      <c r="C641">
        <f t="shared" si="108"/>
        <v>0.13000008214399189</v>
      </c>
      <c r="D641">
        <f t="shared" si="109"/>
        <v>8.00000219050645E-2</v>
      </c>
      <c r="E641">
        <f t="shared" si="106"/>
        <v>8.0000029391404145E-2</v>
      </c>
      <c r="P641">
        <f t="shared" si="110"/>
        <v>0</v>
      </c>
      <c r="Q641">
        <f t="shared" si="111"/>
        <v>0</v>
      </c>
    </row>
    <row r="642" spans="1:17" x14ac:dyDescent="0.45">
      <c r="A642">
        <v>3.1749999999999599</v>
      </c>
      <c r="B642">
        <f t="shared" si="107"/>
        <v>2.9999919884150489E-2</v>
      </c>
      <c r="C642">
        <f t="shared" si="108"/>
        <v>0.13000008011584951</v>
      </c>
      <c r="D642">
        <f t="shared" si="109"/>
        <v>8.0000021364226542E-2</v>
      </c>
      <c r="E642">
        <f t="shared" si="106"/>
        <v>8.0000030176348921E-2</v>
      </c>
      <c r="P642">
        <f t="shared" si="110"/>
        <v>0</v>
      </c>
      <c r="Q642">
        <f t="shared" si="111"/>
        <v>0</v>
      </c>
    </row>
    <row r="643" spans="1:17" x14ac:dyDescent="0.45">
      <c r="A643">
        <v>3.1799999999999602</v>
      </c>
      <c r="B643">
        <f t="shared" si="107"/>
        <v>2.9999921862217865E-2</v>
      </c>
      <c r="C643">
        <f t="shared" si="108"/>
        <v>0.13000007813778214</v>
      </c>
      <c r="D643">
        <f t="shared" si="109"/>
        <v>8.0000020836741903E-2</v>
      </c>
      <c r="E643">
        <f t="shared" si="106"/>
        <v>8.00000308831781E-2</v>
      </c>
      <c r="P643">
        <f t="shared" si="110"/>
        <v>0</v>
      </c>
      <c r="Q643">
        <f t="shared" si="111"/>
        <v>0</v>
      </c>
    </row>
    <row r="644" spans="1:17" x14ac:dyDescent="0.45">
      <c r="A644">
        <v>3.1849999999999601</v>
      </c>
      <c r="B644">
        <f t="shared" si="107"/>
        <v>2.9999923791446587E-2</v>
      </c>
      <c r="C644">
        <f t="shared" si="108"/>
        <v>0.13000007620855342</v>
      </c>
      <c r="D644">
        <f t="shared" si="109"/>
        <v>8.0000020322280915E-2</v>
      </c>
      <c r="E644">
        <f t="shared" si="106"/>
        <v>8.000003151476838E-2</v>
      </c>
      <c r="P644">
        <f t="shared" si="110"/>
        <v>0</v>
      </c>
      <c r="Q644">
        <f t="shared" si="111"/>
        <v>0</v>
      </c>
    </row>
    <row r="645" spans="1:17" x14ac:dyDescent="0.45">
      <c r="A645">
        <v>3.18999999999996</v>
      </c>
      <c r="B645">
        <f t="shared" si="107"/>
        <v>2.9999925673042466E-2</v>
      </c>
      <c r="C645">
        <f t="shared" si="108"/>
        <v>0.13000007432695754</v>
      </c>
      <c r="D645">
        <f t="shared" si="109"/>
        <v>8.0000019820522003E-2</v>
      </c>
      <c r="E645">
        <f t="shared" si="106"/>
        <v>8.0000032073955521E-2</v>
      </c>
      <c r="P645">
        <f t="shared" si="110"/>
        <v>0</v>
      </c>
      <c r="Q645">
        <f t="shared" si="111"/>
        <v>0</v>
      </c>
    </row>
    <row r="646" spans="1:17" x14ac:dyDescent="0.45">
      <c r="A646">
        <v>3.1949999999999599</v>
      </c>
      <c r="B646">
        <f t="shared" si="107"/>
        <v>2.999992750818159E-2</v>
      </c>
      <c r="C646">
        <f t="shared" si="108"/>
        <v>0.13000007249181841</v>
      </c>
      <c r="D646">
        <f t="shared" si="109"/>
        <v>8.0000019331151584E-2</v>
      </c>
      <c r="E646">
        <f t="shared" si="106"/>
        <v>8.0000032563532525E-2</v>
      </c>
      <c r="P646">
        <f t="shared" si="110"/>
        <v>0</v>
      </c>
      <c r="Q646">
        <f t="shared" si="111"/>
        <v>0</v>
      </c>
    </row>
    <row r="647" spans="1:17" x14ac:dyDescent="0.45">
      <c r="A647">
        <v>3.1999999999999602</v>
      </c>
      <c r="B647">
        <f t="shared" si="107"/>
        <v>2.9999929298010958E-2</v>
      </c>
      <c r="C647">
        <f t="shared" si="108"/>
        <v>0.13000007070198905</v>
      </c>
      <c r="D647">
        <f t="shared" si="109"/>
        <v>8.000001885386375E-2</v>
      </c>
      <c r="E647">
        <f t="shared" ref="E647:E710" si="112">P0-SIGN(DeltaThetaDeg)*EXP(-Xi*Wn*A647)*(COS(Wd*A647)-(Xi*Wn-1)/(Wd)*SIN(Wd*A647))*Ppeak</f>
        <v>8.000003298624804E-2</v>
      </c>
      <c r="P647">
        <f t="shared" si="110"/>
        <v>0</v>
      </c>
      <c r="Q647">
        <f t="shared" si="111"/>
        <v>0</v>
      </c>
    </row>
    <row r="648" spans="1:17" x14ac:dyDescent="0.45">
      <c r="A648">
        <v>3.2049999999999601</v>
      </c>
      <c r="B648">
        <f t="shared" si="107"/>
        <v>2.9999931043649286E-2</v>
      </c>
      <c r="C648">
        <f t="shared" si="108"/>
        <v>0.13000006895635072</v>
      </c>
      <c r="D648">
        <f t="shared" si="109"/>
        <v>8.0000018388360183E-2</v>
      </c>
      <c r="E648">
        <f t="shared" si="112"/>
        <v>8.0000033344804974E-2</v>
      </c>
      <c r="P648">
        <f t="shared" si="110"/>
        <v>0</v>
      </c>
      <c r="Q648">
        <f t="shared" si="111"/>
        <v>0</v>
      </c>
    </row>
    <row r="649" spans="1:17" x14ac:dyDescent="0.45">
      <c r="A649">
        <v>3.20999999999996</v>
      </c>
      <c r="B649">
        <f t="shared" ref="B649:B712" si="113">P0-Ppeak*(1+Marge_haute)*EXP(-Sigma*A647)-Tunnel</f>
        <v>2.999993274618766E-2</v>
      </c>
      <c r="C649">
        <f t="shared" ref="C649:C712" si="114">P0+Ppeak*(1+Marge_haute)*EXP(-Sigma*A647)+Tunnel</f>
        <v>0.13000006725381236</v>
      </c>
      <c r="D649">
        <f t="shared" ref="D649:D712" si="115">P0-SIGN(DeltaThetaDeg)*Marge_basse*Ppeak*EXP(-Sigma*A647)</f>
        <v>8.0000017934349965E-2</v>
      </c>
      <c r="E649">
        <f t="shared" si="112"/>
        <v>8.0000033641859078E-2</v>
      </c>
      <c r="P649">
        <f t="shared" si="110"/>
        <v>0</v>
      </c>
      <c r="Q649">
        <f t="shared" si="111"/>
        <v>0</v>
      </c>
    </row>
    <row r="650" spans="1:17" x14ac:dyDescent="0.45">
      <c r="A650">
        <v>3.2149999999999599</v>
      </c>
      <c r="B650">
        <f t="shared" si="113"/>
        <v>2.9999934406690201E-2</v>
      </c>
      <c r="C650">
        <f t="shared" si="114"/>
        <v>0.13000006559330979</v>
      </c>
      <c r="D650">
        <f t="shared" si="115"/>
        <v>8.000001749154928E-2</v>
      </c>
      <c r="E650">
        <f t="shared" si="112"/>
        <v>8.0000033880017737E-2</v>
      </c>
      <c r="P650">
        <f t="shared" si="110"/>
        <v>0</v>
      </c>
      <c r="Q650">
        <f t="shared" si="111"/>
        <v>0</v>
      </c>
    </row>
    <row r="651" spans="1:17" x14ac:dyDescent="0.45">
      <c r="A651">
        <v>3.2199999999999598</v>
      </c>
      <c r="B651">
        <f t="shared" si="113"/>
        <v>2.9999936026194787E-2</v>
      </c>
      <c r="C651">
        <f t="shared" si="114"/>
        <v>0.1300000639738052</v>
      </c>
      <c r="D651">
        <f t="shared" si="115"/>
        <v>8.0000017059681391E-2</v>
      </c>
      <c r="E651">
        <f t="shared" si="112"/>
        <v>8.0000034061838948E-2</v>
      </c>
      <c r="P651">
        <f t="shared" ref="P651:P714" si="116">IF(EMT_simulation,N647,N651)</f>
        <v>0</v>
      </c>
      <c r="Q651">
        <f t="shared" ref="Q651:Q714" si="117">IF(EMT_simulation,O647,O651)</f>
        <v>0</v>
      </c>
    </row>
    <row r="652" spans="1:17" x14ac:dyDescent="0.45">
      <c r="A652">
        <v>3.2249999999999601</v>
      </c>
      <c r="B652">
        <f t="shared" si="113"/>
        <v>2.9999937605713664E-2</v>
      </c>
      <c r="C652">
        <f t="shared" si="114"/>
        <v>0.13000006239428635</v>
      </c>
      <c r="D652">
        <f t="shared" si="115"/>
        <v>8.0000016638476362E-2</v>
      </c>
      <c r="E652">
        <f t="shared" si="112"/>
        <v>8.000003418983033E-2</v>
      </c>
      <c r="P652">
        <f t="shared" si="116"/>
        <v>0</v>
      </c>
      <c r="Q652">
        <f t="shared" si="117"/>
        <v>0</v>
      </c>
    </row>
    <row r="653" spans="1:17" x14ac:dyDescent="0.45">
      <c r="A653">
        <v>3.22999999999996</v>
      </c>
      <c r="B653">
        <f t="shared" si="113"/>
        <v>2.9999939146234084E-2</v>
      </c>
      <c r="C653">
        <f t="shared" si="114"/>
        <v>0.13000006085376592</v>
      </c>
      <c r="D653">
        <f t="shared" si="115"/>
        <v>8.0000016227670917E-2</v>
      </c>
      <c r="E653">
        <f t="shared" si="112"/>
        <v>8.0000034266448236E-2</v>
      </c>
      <c r="P653">
        <f t="shared" si="116"/>
        <v>0</v>
      </c>
      <c r="Q653">
        <f t="shared" si="117"/>
        <v>0</v>
      </c>
    </row>
    <row r="654" spans="1:17" x14ac:dyDescent="0.45">
      <c r="A654">
        <v>3.2349999999999599</v>
      </c>
      <c r="B654">
        <f t="shared" si="113"/>
        <v>2.9999940648718915E-2</v>
      </c>
      <c r="C654">
        <f t="shared" si="114"/>
        <v>0.13000005935128109</v>
      </c>
      <c r="D654">
        <f t="shared" si="115"/>
        <v>8.0000015827008289E-2</v>
      </c>
      <c r="E654">
        <f t="shared" si="112"/>
        <v>8.0000034294097036E-2</v>
      </c>
      <c r="P654">
        <f t="shared" si="116"/>
        <v>0</v>
      </c>
      <c r="Q654">
        <f t="shared" si="117"/>
        <v>0</v>
      </c>
    </row>
    <row r="655" spans="1:17" x14ac:dyDescent="0.45">
      <c r="A655">
        <v>3.2399999999999598</v>
      </c>
      <c r="B655">
        <f t="shared" si="113"/>
        <v>2.9999942114107267E-2</v>
      </c>
      <c r="C655">
        <f t="shared" si="114"/>
        <v>0.13000005788589275</v>
      </c>
      <c r="D655">
        <f t="shared" si="115"/>
        <v>8.0000015436238067E-2</v>
      </c>
      <c r="E655">
        <f t="shared" si="112"/>
        <v>8.0000034275128487E-2</v>
      </c>
      <c r="P655">
        <f t="shared" si="116"/>
        <v>0</v>
      </c>
      <c r="Q655">
        <f t="shared" si="117"/>
        <v>0</v>
      </c>
    </row>
    <row r="656" spans="1:17" x14ac:dyDescent="0.45">
      <c r="A656">
        <v>3.2449999999999601</v>
      </c>
      <c r="B656">
        <f t="shared" si="113"/>
        <v>2.9999943543315061E-2</v>
      </c>
      <c r="C656">
        <f t="shared" si="114"/>
        <v>0.13000005645668494</v>
      </c>
      <c r="D656">
        <f t="shared" si="115"/>
        <v>8.0000015055115989E-2</v>
      </c>
      <c r="E656">
        <f t="shared" si="112"/>
        <v>8.0000034211841195E-2</v>
      </c>
      <c r="P656">
        <f t="shared" si="116"/>
        <v>0</v>
      </c>
      <c r="Q656">
        <f t="shared" si="117"/>
        <v>0</v>
      </c>
    </row>
    <row r="657" spans="1:17" x14ac:dyDescent="0.45">
      <c r="A657">
        <v>3.24999999999996</v>
      </c>
      <c r="B657">
        <f t="shared" si="113"/>
        <v>2.9999944937235568E-2</v>
      </c>
      <c r="C657">
        <f t="shared" si="114"/>
        <v>0.13000005506276444</v>
      </c>
      <c r="D657">
        <f t="shared" si="115"/>
        <v>8.0000014683403842E-2</v>
      </c>
      <c r="E657">
        <f t="shared" si="112"/>
        <v>8.0000034106480142E-2</v>
      </c>
      <c r="P657">
        <f t="shared" si="116"/>
        <v>0</v>
      </c>
      <c r="Q657">
        <f t="shared" si="117"/>
        <v>0</v>
      </c>
    </row>
    <row r="658" spans="1:17" x14ac:dyDescent="0.45">
      <c r="A658">
        <v>3.2549999999999599</v>
      </c>
      <c r="B658">
        <f t="shared" si="113"/>
        <v>2.9999946296740077E-2</v>
      </c>
      <c r="C658">
        <f t="shared" si="114"/>
        <v>0.13000005370325993</v>
      </c>
      <c r="D658">
        <f t="shared" si="115"/>
        <v>8.0000014320869312E-2</v>
      </c>
      <c r="E658">
        <f t="shared" si="112"/>
        <v>8.0000033961236353E-2</v>
      </c>
      <c r="P658">
        <f t="shared" si="116"/>
        <v>0</v>
      </c>
      <c r="Q658">
        <f t="shared" si="117"/>
        <v>0</v>
      </c>
    </row>
    <row r="659" spans="1:17" x14ac:dyDescent="0.45">
      <c r="A659">
        <v>3.2599999999999598</v>
      </c>
      <c r="B659">
        <f t="shared" si="113"/>
        <v>2.9999947622678283E-2</v>
      </c>
      <c r="C659">
        <f t="shared" si="114"/>
        <v>0.13000005237732171</v>
      </c>
      <c r="D659">
        <f t="shared" si="115"/>
        <v>8.0000013967285788E-2</v>
      </c>
      <c r="E659">
        <f t="shared" si="112"/>
        <v>8.0000033778246687E-2</v>
      </c>
      <c r="P659">
        <f t="shared" si="116"/>
        <v>0</v>
      </c>
      <c r="Q659">
        <f t="shared" si="117"/>
        <v>0</v>
      </c>
    </row>
    <row r="660" spans="1:17" x14ac:dyDescent="0.45">
      <c r="A660">
        <v>3.2649999999999602</v>
      </c>
      <c r="B660">
        <f t="shared" si="113"/>
        <v>2.9999948915878968E-2</v>
      </c>
      <c r="C660">
        <f t="shared" si="114"/>
        <v>0.13000005108412105</v>
      </c>
      <c r="D660">
        <f t="shared" si="115"/>
        <v>8.0000013622432281E-2</v>
      </c>
      <c r="E660">
        <f t="shared" si="112"/>
        <v>8.000003355959355E-2</v>
      </c>
      <c r="P660">
        <f t="shared" si="116"/>
        <v>0</v>
      </c>
      <c r="Q660">
        <f t="shared" si="117"/>
        <v>0</v>
      </c>
    </row>
    <row r="661" spans="1:17" x14ac:dyDescent="0.45">
      <c r="A661">
        <v>3.26999999999996</v>
      </c>
      <c r="B661">
        <f t="shared" si="113"/>
        <v>2.9999950177150403E-2</v>
      </c>
      <c r="C661">
        <f t="shared" si="114"/>
        <v>0.1300000498228496</v>
      </c>
      <c r="D661">
        <f t="shared" si="115"/>
        <v>8.0000013286093227E-2</v>
      </c>
      <c r="E661">
        <f t="shared" si="112"/>
        <v>8.000003330730493E-2</v>
      </c>
      <c r="P661">
        <f t="shared" si="116"/>
        <v>0</v>
      </c>
      <c r="Q661">
        <f t="shared" si="117"/>
        <v>0</v>
      </c>
    </row>
    <row r="662" spans="1:17" x14ac:dyDescent="0.45">
      <c r="A662">
        <v>3.2749999999999599</v>
      </c>
      <c r="B662">
        <f t="shared" si="113"/>
        <v>2.9999951407280942E-2</v>
      </c>
      <c r="C662">
        <f t="shared" si="114"/>
        <v>0.13000004859271908</v>
      </c>
      <c r="D662">
        <f t="shared" si="115"/>
        <v>8.000001295805842E-2</v>
      </c>
      <c r="E662">
        <f t="shared" si="112"/>
        <v>8.0000033023354247E-2</v>
      </c>
      <c r="P662">
        <f t="shared" si="116"/>
        <v>0</v>
      </c>
      <c r="Q662">
        <f t="shared" si="117"/>
        <v>0</v>
      </c>
    </row>
    <row r="663" spans="1:17" x14ac:dyDescent="0.45">
      <c r="A663">
        <v>3.2799999999999598</v>
      </c>
      <c r="B663">
        <f t="shared" si="113"/>
        <v>2.9999952607039457E-2</v>
      </c>
      <c r="C663">
        <f t="shared" si="114"/>
        <v>0.13000004739296056</v>
      </c>
      <c r="D663">
        <f t="shared" si="115"/>
        <v>8.0000012638122814E-2</v>
      </c>
      <c r="E663">
        <f t="shared" si="112"/>
        <v>8.000003270966051E-2</v>
      </c>
      <c r="P663">
        <f t="shared" si="116"/>
        <v>0</v>
      </c>
      <c r="Q663">
        <f t="shared" si="117"/>
        <v>0</v>
      </c>
    </row>
    <row r="664" spans="1:17" x14ac:dyDescent="0.45">
      <c r="A664">
        <v>3.2849999999999602</v>
      </c>
      <c r="B664">
        <f t="shared" si="113"/>
        <v>2.999995377717582E-2</v>
      </c>
      <c r="C664">
        <f t="shared" si="114"/>
        <v>0.13000004622282418</v>
      </c>
      <c r="D664">
        <f t="shared" si="115"/>
        <v>8.0000012326086445E-2</v>
      </c>
      <c r="E664">
        <f t="shared" si="112"/>
        <v>8.0000032368088392E-2</v>
      </c>
      <c r="P664">
        <f t="shared" si="116"/>
        <v>0</v>
      </c>
      <c r="Q664">
        <f t="shared" si="117"/>
        <v>0</v>
      </c>
    </row>
    <row r="665" spans="1:17" x14ac:dyDescent="0.45">
      <c r="A665">
        <v>3.2899999999999601</v>
      </c>
      <c r="B665">
        <f t="shared" si="113"/>
        <v>2.9999954918421418E-2</v>
      </c>
      <c r="C665">
        <f t="shared" si="114"/>
        <v>0.13000004508157859</v>
      </c>
      <c r="D665">
        <f t="shared" si="115"/>
        <v>8.0000012021754288E-2</v>
      </c>
      <c r="E665">
        <f t="shared" si="112"/>
        <v>8.0000032000448404E-2</v>
      </c>
      <c r="P665">
        <f t="shared" si="116"/>
        <v>0</v>
      </c>
      <c r="Q665">
        <f t="shared" si="117"/>
        <v>0</v>
      </c>
    </row>
    <row r="666" spans="1:17" x14ac:dyDescent="0.45">
      <c r="A666">
        <v>3.29499999999996</v>
      </c>
      <c r="B666">
        <f t="shared" si="113"/>
        <v>2.9999956031489555E-2</v>
      </c>
      <c r="C666">
        <f t="shared" si="114"/>
        <v>0.13000004396851045</v>
      </c>
      <c r="D666">
        <f t="shared" si="115"/>
        <v>8.0000011724936121E-2</v>
      </c>
      <c r="E666">
        <f t="shared" si="112"/>
        <v>8.0000031608497196E-2</v>
      </c>
      <c r="P666">
        <f t="shared" si="116"/>
        <v>0</v>
      </c>
      <c r="Q666">
        <f t="shared" si="117"/>
        <v>0</v>
      </c>
    </row>
    <row r="667" spans="1:17" x14ac:dyDescent="0.45">
      <c r="A667">
        <v>3.2999999999999599</v>
      </c>
      <c r="B667">
        <f t="shared" si="113"/>
        <v>2.999995711707594E-2</v>
      </c>
      <c r="C667">
        <f t="shared" si="114"/>
        <v>0.13000004288292405</v>
      </c>
      <c r="D667">
        <f t="shared" si="115"/>
        <v>8.0000011435446411E-2</v>
      </c>
      <c r="E667">
        <f t="shared" si="112"/>
        <v>8.0000031193937837E-2</v>
      </c>
      <c r="P667">
        <f t="shared" si="116"/>
        <v>0</v>
      </c>
      <c r="Q667">
        <f t="shared" si="117"/>
        <v>0</v>
      </c>
    </row>
    <row r="668" spans="1:17" x14ac:dyDescent="0.45">
      <c r="A668">
        <v>3.3049999999999602</v>
      </c>
      <c r="B668">
        <f t="shared" si="113"/>
        <v>2.9999958175859112E-2</v>
      </c>
      <c r="C668">
        <f t="shared" si="114"/>
        <v>0.13000004182414088</v>
      </c>
      <c r="D668">
        <f t="shared" si="115"/>
        <v>8.0000011153104233E-2</v>
      </c>
      <c r="E668">
        <f t="shared" si="112"/>
        <v>8.0000030758420132E-2</v>
      </c>
      <c r="P668">
        <f t="shared" si="116"/>
        <v>0</v>
      </c>
      <c r="Q668">
        <f t="shared" si="117"/>
        <v>0</v>
      </c>
    </row>
    <row r="669" spans="1:17" x14ac:dyDescent="0.45">
      <c r="A669">
        <v>3.3099999999999601</v>
      </c>
      <c r="B669">
        <f t="shared" si="113"/>
        <v>2.9999959208500834E-2</v>
      </c>
      <c r="C669">
        <f t="shared" si="114"/>
        <v>0.13000004079149918</v>
      </c>
      <c r="D669">
        <f t="shared" si="115"/>
        <v>8.0000010877733119E-2</v>
      </c>
      <c r="E669">
        <f t="shared" si="112"/>
        <v>8.000003030354115E-2</v>
      </c>
      <c r="P669">
        <f t="shared" si="116"/>
        <v>0</v>
      </c>
      <c r="Q669">
        <f t="shared" si="117"/>
        <v>0</v>
      </c>
    </row>
    <row r="670" spans="1:17" x14ac:dyDescent="0.45">
      <c r="A670">
        <v>3.31499999999996</v>
      </c>
      <c r="B670">
        <f t="shared" si="113"/>
        <v>2.9999960215646534E-2</v>
      </c>
      <c r="C670">
        <f t="shared" si="114"/>
        <v>0.13000003978435348</v>
      </c>
      <c r="D670">
        <f t="shared" si="115"/>
        <v>8.0000010609160926E-2</v>
      </c>
      <c r="E670">
        <f t="shared" si="112"/>
        <v>8.0000029830845587E-2</v>
      </c>
      <c r="P670">
        <f t="shared" si="116"/>
        <v>0</v>
      </c>
      <c r="Q670">
        <f t="shared" si="117"/>
        <v>0</v>
      </c>
    </row>
    <row r="671" spans="1:17" x14ac:dyDescent="0.45">
      <c r="A671">
        <v>3.3199999999999599</v>
      </c>
      <c r="B671">
        <f t="shared" si="113"/>
        <v>2.9999961197925723E-2</v>
      </c>
      <c r="C671">
        <f t="shared" si="114"/>
        <v>0.13000003880207428</v>
      </c>
      <c r="D671">
        <f t="shared" si="115"/>
        <v>8.0000010347219805E-2</v>
      </c>
      <c r="E671">
        <f t="shared" si="112"/>
        <v>8.0000029341826345E-2</v>
      </c>
      <c r="P671">
        <f t="shared" si="116"/>
        <v>0</v>
      </c>
      <c r="Q671">
        <f t="shared" si="117"/>
        <v>0</v>
      </c>
    </row>
    <row r="672" spans="1:17" x14ac:dyDescent="0.45">
      <c r="A672">
        <v>3.3249999999999602</v>
      </c>
      <c r="B672">
        <f t="shared" si="113"/>
        <v>2.9999962155952353E-2</v>
      </c>
      <c r="C672">
        <f t="shared" si="114"/>
        <v>0.13000003784404765</v>
      </c>
      <c r="D672">
        <f t="shared" si="115"/>
        <v>8.0000010091746038E-2</v>
      </c>
      <c r="E672">
        <f t="shared" si="112"/>
        <v>8.000002883792505E-2</v>
      </c>
      <c r="P672">
        <f t="shared" si="116"/>
        <v>0</v>
      </c>
      <c r="Q672">
        <f t="shared" si="117"/>
        <v>0</v>
      </c>
    </row>
    <row r="673" spans="1:17" x14ac:dyDescent="0.45">
      <c r="A673">
        <v>3.3299999999999601</v>
      </c>
      <c r="B673">
        <f t="shared" si="113"/>
        <v>2.999996309032521E-2</v>
      </c>
      <c r="C673">
        <f t="shared" si="114"/>
        <v>0.13000003690967479</v>
      </c>
      <c r="D673">
        <f t="shared" si="115"/>
        <v>8.0000009842579947E-2</v>
      </c>
      <c r="E673">
        <f t="shared" si="112"/>
        <v>8.0000028320532671E-2</v>
      </c>
      <c r="P673">
        <f t="shared" si="116"/>
        <v>0</v>
      </c>
      <c r="Q673">
        <f t="shared" si="117"/>
        <v>0</v>
      </c>
    </row>
    <row r="674" spans="1:17" x14ac:dyDescent="0.45">
      <c r="A674">
        <v>3.33499999999996</v>
      </c>
      <c r="B674">
        <f t="shared" si="113"/>
        <v>2.9999964001628326E-2</v>
      </c>
      <c r="C674">
        <f t="shared" si="114"/>
        <v>0.13000003599837168</v>
      </c>
      <c r="D674">
        <f t="shared" si="115"/>
        <v>8.0000009599565783E-2</v>
      </c>
      <c r="E674">
        <f t="shared" si="112"/>
        <v>8.000002779099015E-2</v>
      </c>
      <c r="P674">
        <f t="shared" si="116"/>
        <v>0</v>
      </c>
      <c r="Q674">
        <f t="shared" si="117"/>
        <v>0</v>
      </c>
    </row>
    <row r="675" spans="1:17" x14ac:dyDescent="0.45">
      <c r="A675">
        <v>3.3399999999999599</v>
      </c>
      <c r="B675">
        <f t="shared" si="113"/>
        <v>2.9999964890431288E-2</v>
      </c>
      <c r="C675">
        <f t="shared" si="114"/>
        <v>0.1300000351095687</v>
      </c>
      <c r="D675">
        <f t="shared" si="115"/>
        <v>8.0000009362551652E-2</v>
      </c>
      <c r="E675">
        <f t="shared" si="112"/>
        <v>8.0000027250589051E-2</v>
      </c>
      <c r="P675">
        <f t="shared" si="116"/>
        <v>0</v>
      </c>
      <c r="Q675">
        <f t="shared" si="117"/>
        <v>0</v>
      </c>
    </row>
    <row r="676" spans="1:17" x14ac:dyDescent="0.45">
      <c r="A676">
        <v>3.3449999999999598</v>
      </c>
      <c r="B676">
        <f t="shared" si="113"/>
        <v>2.9999965757289637E-2</v>
      </c>
      <c r="C676">
        <f t="shared" si="114"/>
        <v>0.13000003424271037</v>
      </c>
      <c r="D676">
        <f t="shared" si="115"/>
        <v>8.0000009131389438E-2</v>
      </c>
      <c r="E676">
        <f t="shared" si="112"/>
        <v>8.0000026700572296E-2</v>
      </c>
      <c r="P676">
        <f t="shared" si="116"/>
        <v>0</v>
      </c>
      <c r="Q676">
        <f t="shared" si="117"/>
        <v>0</v>
      </c>
    </row>
    <row r="677" spans="1:17" x14ac:dyDescent="0.45">
      <c r="A677">
        <v>3.3499999999999601</v>
      </c>
      <c r="B677">
        <f t="shared" si="113"/>
        <v>2.9999966602745162E-2</v>
      </c>
      <c r="C677">
        <f t="shared" si="114"/>
        <v>0.13000003339725485</v>
      </c>
      <c r="D677">
        <f t="shared" si="115"/>
        <v>8.000000890593463E-2</v>
      </c>
      <c r="E677">
        <f t="shared" si="112"/>
        <v>8.0000026142134875E-2</v>
      </c>
      <c r="P677">
        <f t="shared" si="116"/>
        <v>0</v>
      </c>
      <c r="Q677">
        <f t="shared" si="117"/>
        <v>0</v>
      </c>
    </row>
    <row r="678" spans="1:17" x14ac:dyDescent="0.45">
      <c r="A678">
        <v>3.35499999999996</v>
      </c>
      <c r="B678">
        <f t="shared" si="113"/>
        <v>2.9999967427326329E-2</v>
      </c>
      <c r="C678">
        <f t="shared" si="114"/>
        <v>0.13000003257267367</v>
      </c>
      <c r="D678">
        <f t="shared" si="115"/>
        <v>8.0000008686046314E-2</v>
      </c>
      <c r="E678">
        <f t="shared" si="112"/>
        <v>8.0000025576424633E-2</v>
      </c>
      <c r="P678">
        <f t="shared" si="116"/>
        <v>0</v>
      </c>
      <c r="Q678">
        <f t="shared" si="117"/>
        <v>0</v>
      </c>
    </row>
    <row r="679" spans="1:17" x14ac:dyDescent="0.45">
      <c r="A679">
        <v>3.3599999999999599</v>
      </c>
      <c r="B679">
        <f t="shared" si="113"/>
        <v>2.9999968231548504E-2</v>
      </c>
      <c r="C679">
        <f t="shared" si="114"/>
        <v>0.13000003176845149</v>
      </c>
      <c r="D679">
        <f t="shared" si="115"/>
        <v>8.0000008471587072E-2</v>
      </c>
      <c r="E679">
        <f t="shared" si="112"/>
        <v>8.0000025004543007E-2</v>
      </c>
      <c r="P679">
        <f t="shared" si="116"/>
        <v>0</v>
      </c>
      <c r="Q679">
        <f t="shared" si="117"/>
        <v>0</v>
      </c>
    </row>
    <row r="680" spans="1:17" x14ac:dyDescent="0.45">
      <c r="A680">
        <v>3.3649999999999598</v>
      </c>
      <c r="B680">
        <f t="shared" si="113"/>
        <v>2.9999969015914368E-2</v>
      </c>
      <c r="C680">
        <f t="shared" si="114"/>
        <v>0.13000003098408563</v>
      </c>
      <c r="D680">
        <f t="shared" si="115"/>
        <v>8.0000008262422831E-2</v>
      </c>
      <c r="E680">
        <f t="shared" si="112"/>
        <v>8.0000024427545877E-2</v>
      </c>
      <c r="P680">
        <f t="shared" si="116"/>
        <v>0</v>
      </c>
      <c r="Q680">
        <f t="shared" si="117"/>
        <v>0</v>
      </c>
    </row>
    <row r="681" spans="1:17" x14ac:dyDescent="0.45">
      <c r="A681">
        <v>3.3699999999999601</v>
      </c>
      <c r="B681">
        <f t="shared" si="113"/>
        <v>2.9999969780914168E-2</v>
      </c>
      <c r="C681">
        <f t="shared" si="114"/>
        <v>0.13000003021908585</v>
      </c>
      <c r="D681">
        <f t="shared" si="115"/>
        <v>8.0000008058422889E-2</v>
      </c>
      <c r="E681">
        <f t="shared" si="112"/>
        <v>8.0000023846444376E-2</v>
      </c>
      <c r="P681">
        <f t="shared" si="116"/>
        <v>0</v>
      </c>
      <c r="Q681">
        <f t="shared" si="117"/>
        <v>0</v>
      </c>
    </row>
    <row r="682" spans="1:17" x14ac:dyDescent="0.45">
      <c r="A682">
        <v>3.37499999999996</v>
      </c>
      <c r="B682">
        <f t="shared" si="113"/>
        <v>2.9999970527026049E-2</v>
      </c>
      <c r="C682">
        <f t="shared" si="114"/>
        <v>0.13000002947297395</v>
      </c>
      <c r="D682">
        <f t="shared" si="115"/>
        <v>8.0000007859459724E-2</v>
      </c>
      <c r="E682">
        <f t="shared" si="112"/>
        <v>8.0000023262205747E-2</v>
      </c>
      <c r="P682">
        <f t="shared" si="116"/>
        <v>0</v>
      </c>
      <c r="Q682">
        <f t="shared" si="117"/>
        <v>0</v>
      </c>
    </row>
    <row r="683" spans="1:17" x14ac:dyDescent="0.45">
      <c r="A683">
        <v>3.3799999999999599</v>
      </c>
      <c r="B683">
        <f t="shared" si="113"/>
        <v>2.9999971254716373E-2</v>
      </c>
      <c r="C683">
        <f t="shared" si="114"/>
        <v>0.13000002874528363</v>
      </c>
      <c r="D683">
        <f t="shared" si="115"/>
        <v>8.0000007665408962E-2</v>
      </c>
      <c r="E683">
        <f t="shared" si="112"/>
        <v>8.0000022675754179E-2</v>
      </c>
      <c r="P683">
        <f t="shared" si="116"/>
        <v>0</v>
      </c>
      <c r="Q683">
        <f t="shared" si="117"/>
        <v>0</v>
      </c>
    </row>
    <row r="684" spans="1:17" x14ac:dyDescent="0.45">
      <c r="A684">
        <v>3.3849999999999598</v>
      </c>
      <c r="B684">
        <f t="shared" si="113"/>
        <v>2.9999971964439959E-2</v>
      </c>
      <c r="C684">
        <f t="shared" si="114"/>
        <v>0.13000002803556004</v>
      </c>
      <c r="D684">
        <f t="shared" si="115"/>
        <v>8.000000747614934E-2</v>
      </c>
      <c r="E684">
        <f t="shared" si="112"/>
        <v>8.0000022087971745E-2</v>
      </c>
      <c r="P684">
        <f t="shared" si="116"/>
        <v>0</v>
      </c>
      <c r="Q684">
        <f t="shared" si="117"/>
        <v>0</v>
      </c>
    </row>
    <row r="685" spans="1:17" x14ac:dyDescent="0.45">
      <c r="A685">
        <v>3.3899999999999602</v>
      </c>
      <c r="B685">
        <f t="shared" si="113"/>
        <v>2.9999972656640395E-2</v>
      </c>
      <c r="C685">
        <f t="shared" si="114"/>
        <v>0.13000002734335961</v>
      </c>
      <c r="D685">
        <f t="shared" si="115"/>
        <v>8.0000007291562564E-2</v>
      </c>
      <c r="E685">
        <f t="shared" si="112"/>
        <v>8.0000021499699245E-2</v>
      </c>
      <c r="P685">
        <f t="shared" si="116"/>
        <v>0</v>
      </c>
      <c r="Q685">
        <f t="shared" si="117"/>
        <v>0</v>
      </c>
    </row>
    <row r="686" spans="1:17" x14ac:dyDescent="0.45">
      <c r="A686">
        <v>3.39499999999996</v>
      </c>
      <c r="B686">
        <f t="shared" si="113"/>
        <v>2.9999973331750349E-2</v>
      </c>
      <c r="C686">
        <f t="shared" si="114"/>
        <v>0.13000002666824967</v>
      </c>
      <c r="D686">
        <f t="shared" si="115"/>
        <v>8.0000007111533239E-2</v>
      </c>
      <c r="E686">
        <f t="shared" si="112"/>
        <v>8.000002091173708E-2</v>
      </c>
      <c r="P686">
        <f t="shared" si="116"/>
        <v>0</v>
      </c>
      <c r="Q686">
        <f t="shared" si="117"/>
        <v>0</v>
      </c>
    </row>
    <row r="687" spans="1:17" x14ac:dyDescent="0.45">
      <c r="A687">
        <v>3.3999999999999599</v>
      </c>
      <c r="B687">
        <f t="shared" si="113"/>
        <v>2.9999973990191789E-2</v>
      </c>
      <c r="C687">
        <f t="shared" si="114"/>
        <v>0.1300000260098082</v>
      </c>
      <c r="D687">
        <f t="shared" si="115"/>
        <v>8.0000006935948859E-2</v>
      </c>
      <c r="E687">
        <f t="shared" si="112"/>
        <v>8.0000020324846266E-2</v>
      </c>
      <c r="P687">
        <f t="shared" si="116"/>
        <v>0</v>
      </c>
      <c r="Q687">
        <f t="shared" si="117"/>
        <v>0</v>
      </c>
    </row>
    <row r="688" spans="1:17" x14ac:dyDescent="0.45">
      <c r="A688">
        <v>3.4049999999999598</v>
      </c>
      <c r="B688">
        <f t="shared" si="113"/>
        <v>2.9999974632376233E-2</v>
      </c>
      <c r="C688">
        <f t="shared" si="114"/>
        <v>0.13000002536762378</v>
      </c>
      <c r="D688">
        <f t="shared" si="115"/>
        <v>8.0000006764699677E-2</v>
      </c>
      <c r="E688">
        <f t="shared" si="112"/>
        <v>8.000001973974924E-2</v>
      </c>
      <c r="P688">
        <f t="shared" si="116"/>
        <v>0</v>
      </c>
      <c r="Q688">
        <f t="shared" si="117"/>
        <v>0</v>
      </c>
    </row>
    <row r="689" spans="1:17" x14ac:dyDescent="0.45">
      <c r="A689">
        <v>3.4099999999999602</v>
      </c>
      <c r="B689">
        <f t="shared" si="113"/>
        <v>2.9999975258705097E-2</v>
      </c>
      <c r="C689">
        <f t="shared" si="114"/>
        <v>0.13000002474129491</v>
      </c>
      <c r="D689">
        <f t="shared" si="115"/>
        <v>8.0000006597678641E-2</v>
      </c>
      <c r="E689">
        <f t="shared" si="112"/>
        <v>8.0000019157130869E-2</v>
      </c>
      <c r="P689">
        <f t="shared" si="116"/>
        <v>0</v>
      </c>
      <c r="Q689">
        <f t="shared" si="117"/>
        <v>0</v>
      </c>
    </row>
    <row r="690" spans="1:17" x14ac:dyDescent="0.45">
      <c r="A690">
        <v>3.4149999999999601</v>
      </c>
      <c r="B690">
        <f t="shared" si="113"/>
        <v>2.9999975869569845E-2</v>
      </c>
      <c r="C690">
        <f t="shared" si="114"/>
        <v>0.13000002413043016</v>
      </c>
      <c r="D690">
        <f t="shared" si="115"/>
        <v>8.0000006434781376E-2</v>
      </c>
      <c r="E690">
        <f t="shared" si="112"/>
        <v>8.0000018577639331E-2</v>
      </c>
      <c r="P690">
        <f t="shared" si="116"/>
        <v>0</v>
      </c>
      <c r="Q690">
        <f t="shared" si="117"/>
        <v>0</v>
      </c>
    </row>
    <row r="691" spans="1:17" x14ac:dyDescent="0.45">
      <c r="A691">
        <v>3.41999999999996</v>
      </c>
      <c r="B691">
        <f t="shared" si="113"/>
        <v>2.9999976465352282E-2</v>
      </c>
      <c r="C691">
        <f t="shared" si="114"/>
        <v>0.13000002353464774</v>
      </c>
      <c r="D691">
        <f t="shared" si="115"/>
        <v>8.000000627590606E-2</v>
      </c>
      <c r="E691">
        <f t="shared" si="112"/>
        <v>8.0000018001887066E-2</v>
      </c>
      <c r="P691">
        <f t="shared" si="116"/>
        <v>0</v>
      </c>
      <c r="Q691">
        <f t="shared" si="117"/>
        <v>0</v>
      </c>
    </row>
    <row r="692" spans="1:17" x14ac:dyDescent="0.45">
      <c r="A692">
        <v>3.4249999999999501</v>
      </c>
      <c r="B692">
        <f t="shared" si="113"/>
        <v>2.9999977046424806E-2</v>
      </c>
      <c r="C692">
        <f t="shared" si="114"/>
        <v>0.13000002295357521</v>
      </c>
      <c r="D692">
        <f t="shared" si="115"/>
        <v>8.0000006120953385E-2</v>
      </c>
      <c r="E692">
        <f t="shared" si="112"/>
        <v>8.0000017430451723E-2</v>
      </c>
      <c r="P692">
        <f t="shared" si="116"/>
        <v>0</v>
      </c>
      <c r="Q692">
        <f t="shared" si="117"/>
        <v>0</v>
      </c>
    </row>
    <row r="693" spans="1:17" x14ac:dyDescent="0.45">
      <c r="A693">
        <v>3.42999999999995</v>
      </c>
      <c r="B693">
        <f t="shared" si="113"/>
        <v>2.9999977613150597E-2</v>
      </c>
      <c r="C693">
        <f t="shared" si="114"/>
        <v>0.13000002238684941</v>
      </c>
      <c r="D693">
        <f t="shared" si="115"/>
        <v>8.000000596982651E-2</v>
      </c>
      <c r="E693">
        <f t="shared" si="112"/>
        <v>8.0000016863877074E-2</v>
      </c>
      <c r="P693">
        <f t="shared" si="116"/>
        <v>0</v>
      </c>
      <c r="Q693">
        <f t="shared" si="117"/>
        <v>0</v>
      </c>
    </row>
    <row r="694" spans="1:17" x14ac:dyDescent="0.45">
      <c r="A694">
        <v>3.4349999999999499</v>
      </c>
      <c r="B694">
        <f t="shared" si="113"/>
        <v>2.9999978165883887E-2</v>
      </c>
      <c r="C694">
        <f t="shared" si="114"/>
        <v>0.13000002183411613</v>
      </c>
      <c r="D694">
        <f t="shared" si="115"/>
        <v>8.000000582243097E-2</v>
      </c>
      <c r="E694">
        <f t="shared" si="112"/>
        <v>8.0000016302673921E-2</v>
      </c>
      <c r="P694">
        <f t="shared" si="116"/>
        <v>0</v>
      </c>
      <c r="Q694">
        <f t="shared" si="117"/>
        <v>0</v>
      </c>
    </row>
    <row r="695" spans="1:17" x14ac:dyDescent="0.45">
      <c r="A695">
        <v>3.4399999999999502</v>
      </c>
      <c r="B695">
        <f t="shared" si="113"/>
        <v>2.9999978704970134E-2</v>
      </c>
      <c r="C695">
        <f t="shared" si="114"/>
        <v>0.13000002129502986</v>
      </c>
      <c r="D695">
        <f t="shared" si="115"/>
        <v>8.0000005678674629E-2</v>
      </c>
      <c r="E695">
        <f t="shared" si="112"/>
        <v>8.0000015747321115E-2</v>
      </c>
      <c r="P695">
        <f t="shared" si="116"/>
        <v>0</v>
      </c>
      <c r="Q695">
        <f t="shared" si="117"/>
        <v>0</v>
      </c>
    </row>
    <row r="696" spans="1:17" x14ac:dyDescent="0.45">
      <c r="A696">
        <v>3.4449999999999501</v>
      </c>
      <c r="B696">
        <f t="shared" si="113"/>
        <v>2.9999979230746293E-2</v>
      </c>
      <c r="C696">
        <f t="shared" si="114"/>
        <v>0.13000002076925371</v>
      </c>
      <c r="D696">
        <f t="shared" si="115"/>
        <v>8.0000005538467658E-2</v>
      </c>
      <c r="E696">
        <f t="shared" si="112"/>
        <v>8.0000015198266411E-2</v>
      </c>
      <c r="P696">
        <f t="shared" si="116"/>
        <v>0</v>
      </c>
      <c r="Q696">
        <f t="shared" si="117"/>
        <v>0</v>
      </c>
    </row>
    <row r="697" spans="1:17" x14ac:dyDescent="0.45">
      <c r="A697">
        <v>3.44999999999995</v>
      </c>
      <c r="B697">
        <f t="shared" si="113"/>
        <v>2.9999979743540989E-2</v>
      </c>
      <c r="C697">
        <f t="shared" si="114"/>
        <v>0.13000002025645901</v>
      </c>
      <c r="D697">
        <f t="shared" si="115"/>
        <v>8.0000005401722404E-2</v>
      </c>
      <c r="E697">
        <f t="shared" si="112"/>
        <v>8.0000014655927404E-2</v>
      </c>
      <c r="P697">
        <f t="shared" si="116"/>
        <v>0</v>
      </c>
      <c r="Q697">
        <f t="shared" si="117"/>
        <v>0</v>
      </c>
    </row>
    <row r="698" spans="1:17" x14ac:dyDescent="0.45">
      <c r="A698">
        <v>3.4549999999999499</v>
      </c>
      <c r="B698">
        <f t="shared" si="113"/>
        <v>2.9999980243674743E-2</v>
      </c>
      <c r="C698">
        <f t="shared" si="114"/>
        <v>0.13000001975632525</v>
      </c>
      <c r="D698">
        <f t="shared" si="115"/>
        <v>8.0000005268353408E-2</v>
      </c>
      <c r="E698">
        <f t="shared" si="112"/>
        <v>8.000001412069245E-2</v>
      </c>
      <c r="P698">
        <f t="shared" si="116"/>
        <v>0</v>
      </c>
      <c r="Q698">
        <f t="shared" si="117"/>
        <v>0</v>
      </c>
    </row>
    <row r="699" spans="1:17" x14ac:dyDescent="0.45">
      <c r="A699">
        <v>3.4599999999999498</v>
      </c>
      <c r="B699">
        <f t="shared" si="113"/>
        <v>2.9999980731460152E-2</v>
      </c>
      <c r="C699">
        <f t="shared" si="114"/>
        <v>0.13000001926853985</v>
      </c>
      <c r="D699">
        <f t="shared" si="115"/>
        <v>8.0000005138277291E-2</v>
      </c>
      <c r="E699">
        <f t="shared" si="112"/>
        <v>8.0000013592921623E-2</v>
      </c>
      <c r="P699">
        <f t="shared" si="116"/>
        <v>0</v>
      </c>
      <c r="Q699">
        <f t="shared" si="117"/>
        <v>0</v>
      </c>
    </row>
    <row r="700" spans="1:17" x14ac:dyDescent="0.45">
      <c r="A700">
        <v>3.4649999999999501</v>
      </c>
      <c r="B700">
        <f t="shared" si="113"/>
        <v>2.9999981207202098E-2</v>
      </c>
      <c r="C700">
        <f t="shared" si="114"/>
        <v>0.13000001879279791</v>
      </c>
      <c r="D700">
        <f t="shared" si="115"/>
        <v>8.0000005011412773E-2</v>
      </c>
      <c r="E700">
        <f t="shared" si="112"/>
        <v>8.0000013072947559E-2</v>
      </c>
      <c r="P700">
        <f t="shared" si="116"/>
        <v>0</v>
      </c>
      <c r="Q700">
        <f t="shared" si="117"/>
        <v>0</v>
      </c>
    </row>
    <row r="701" spans="1:17" x14ac:dyDescent="0.45">
      <c r="A701">
        <v>3.46999999999995</v>
      </c>
      <c r="B701">
        <f t="shared" si="113"/>
        <v>2.9999981671197939E-2</v>
      </c>
      <c r="C701">
        <f t="shared" si="114"/>
        <v>0.13000001832880206</v>
      </c>
      <c r="D701">
        <f t="shared" si="115"/>
        <v>8.0000004887680554E-2</v>
      </c>
      <c r="E701">
        <f t="shared" si="112"/>
        <v>8.0000012561076361E-2</v>
      </c>
      <c r="P701">
        <f t="shared" si="116"/>
        <v>0</v>
      </c>
      <c r="Q701">
        <f t="shared" si="117"/>
        <v>0</v>
      </c>
    </row>
    <row r="702" spans="1:17" x14ac:dyDescent="0.45">
      <c r="A702">
        <v>3.4749999999999499</v>
      </c>
      <c r="B702">
        <f t="shared" si="113"/>
        <v>2.9999982123737667E-2</v>
      </c>
      <c r="C702">
        <f t="shared" si="114"/>
        <v>0.13000001787626234</v>
      </c>
      <c r="D702">
        <f t="shared" si="115"/>
        <v>8.0000004767003294E-2</v>
      </c>
      <c r="E702">
        <f t="shared" si="112"/>
        <v>8.0000012057588554E-2</v>
      </c>
      <c r="P702">
        <f t="shared" si="116"/>
        <v>0</v>
      </c>
      <c r="Q702">
        <f t="shared" si="117"/>
        <v>0</v>
      </c>
    </row>
    <row r="703" spans="1:17" x14ac:dyDescent="0.45">
      <c r="A703">
        <v>3.4799999999999498</v>
      </c>
      <c r="B703">
        <f t="shared" si="113"/>
        <v>2.9999982565104152E-2</v>
      </c>
      <c r="C703">
        <f t="shared" si="114"/>
        <v>0.13000001743489586</v>
      </c>
      <c r="D703">
        <f t="shared" si="115"/>
        <v>8.0000004649305553E-2</v>
      </c>
      <c r="E703">
        <f t="shared" si="112"/>
        <v>8.0000011562739878E-2</v>
      </c>
      <c r="P703">
        <f t="shared" si="116"/>
        <v>0</v>
      </c>
      <c r="Q703">
        <f t="shared" si="117"/>
        <v>0</v>
      </c>
    </row>
    <row r="704" spans="1:17" x14ac:dyDescent="0.45">
      <c r="A704">
        <v>3.4849999999999501</v>
      </c>
      <c r="B704">
        <f t="shared" si="113"/>
        <v>2.9999982995573271E-2</v>
      </c>
      <c r="C704">
        <f t="shared" si="114"/>
        <v>0.13000001700442673</v>
      </c>
      <c r="D704">
        <f t="shared" si="115"/>
        <v>8.0000004534513794E-2</v>
      </c>
      <c r="E704">
        <f t="shared" si="112"/>
        <v>8.0000011076762204E-2</v>
      </c>
      <c r="P704">
        <f t="shared" si="116"/>
        <v>0</v>
      </c>
      <c r="Q704">
        <f t="shared" si="117"/>
        <v>0</v>
      </c>
    </row>
    <row r="705" spans="1:17" x14ac:dyDescent="0.45">
      <c r="A705">
        <v>3.48999999999995</v>
      </c>
      <c r="B705">
        <f t="shared" si="113"/>
        <v>2.9999983415414058E-2</v>
      </c>
      <c r="C705">
        <f t="shared" si="114"/>
        <v>0.13000001658458593</v>
      </c>
      <c r="D705">
        <f t="shared" si="115"/>
        <v>8.0000004422556253E-2</v>
      </c>
      <c r="E705">
        <f t="shared" si="112"/>
        <v>8.0000010599864391E-2</v>
      </c>
      <c r="P705">
        <f t="shared" si="116"/>
        <v>0</v>
      </c>
      <c r="Q705">
        <f t="shared" si="117"/>
        <v>0</v>
      </c>
    </row>
    <row r="706" spans="1:17" x14ac:dyDescent="0.45">
      <c r="A706">
        <v>3.4949999999999499</v>
      </c>
      <c r="B706">
        <f t="shared" si="113"/>
        <v>2.9999983824888943E-2</v>
      </c>
      <c r="C706">
        <f t="shared" si="114"/>
        <v>0.13000001617511106</v>
      </c>
      <c r="D706">
        <f t="shared" si="115"/>
        <v>8.0000004313362946E-2</v>
      </c>
      <c r="E706">
        <f t="shared" si="112"/>
        <v>8.000001013223311E-2</v>
      </c>
      <c r="P706">
        <f t="shared" si="116"/>
        <v>0</v>
      </c>
      <c r="Q706">
        <f t="shared" si="117"/>
        <v>0</v>
      </c>
    </row>
    <row r="707" spans="1:17" x14ac:dyDescent="0.45">
      <c r="A707">
        <v>3.4999999999999498</v>
      </c>
      <c r="B707">
        <f t="shared" si="113"/>
        <v>2.9999984224253859E-2</v>
      </c>
      <c r="C707">
        <f t="shared" si="114"/>
        <v>0.13000001577574616</v>
      </c>
      <c r="D707">
        <f t="shared" si="115"/>
        <v>8.0000004206865635E-2</v>
      </c>
      <c r="E707">
        <f t="shared" si="112"/>
        <v>8.0000009674033742E-2</v>
      </c>
      <c r="P707">
        <f t="shared" si="116"/>
        <v>0</v>
      </c>
      <c r="Q707">
        <f t="shared" si="117"/>
        <v>0</v>
      </c>
    </row>
    <row r="708" spans="1:17" x14ac:dyDescent="0.45">
      <c r="A708">
        <v>3.5049999999999502</v>
      </c>
      <c r="B708">
        <f t="shared" si="113"/>
        <v>2.9999984613758426E-2</v>
      </c>
      <c r="C708">
        <f t="shared" si="114"/>
        <v>0.13000001538624156</v>
      </c>
      <c r="D708">
        <f t="shared" si="115"/>
        <v>8.0000004102997749E-2</v>
      </c>
      <c r="E708">
        <f t="shared" si="112"/>
        <v>8.0000009225411103E-2</v>
      </c>
      <c r="P708">
        <f t="shared" si="116"/>
        <v>0</v>
      </c>
      <c r="Q708">
        <f t="shared" si="117"/>
        <v>0</v>
      </c>
    </row>
    <row r="709" spans="1:17" x14ac:dyDescent="0.45">
      <c r="A709">
        <v>3.50999999999995</v>
      </c>
      <c r="B709">
        <f t="shared" si="113"/>
        <v>2.9999984993646076E-2</v>
      </c>
      <c r="C709">
        <f t="shared" si="114"/>
        <v>0.13000001500635394</v>
      </c>
      <c r="D709">
        <f t="shared" si="115"/>
        <v>8.000000400169438E-2</v>
      </c>
      <c r="E709">
        <f t="shared" si="112"/>
        <v>8.0000008786490315E-2</v>
      </c>
      <c r="P709">
        <f t="shared" si="116"/>
        <v>0</v>
      </c>
      <c r="Q709">
        <f t="shared" si="117"/>
        <v>0</v>
      </c>
    </row>
    <row r="710" spans="1:17" x14ac:dyDescent="0.45">
      <c r="A710">
        <v>3.5149999999999499</v>
      </c>
      <c r="B710">
        <f t="shared" si="113"/>
        <v>2.9999985364154283E-2</v>
      </c>
      <c r="C710">
        <f t="shared" si="114"/>
        <v>0.13000001463584571</v>
      </c>
      <c r="D710">
        <f t="shared" si="115"/>
        <v>8.0000003902892192E-2</v>
      </c>
      <c r="E710">
        <f t="shared" si="112"/>
        <v>8.0000008357377597E-2</v>
      </c>
      <c r="P710">
        <f t="shared" si="116"/>
        <v>0</v>
      </c>
      <c r="Q710">
        <f t="shared" si="117"/>
        <v>0</v>
      </c>
    </row>
    <row r="711" spans="1:17" x14ac:dyDescent="0.45">
      <c r="A711">
        <v>3.5199999999999498</v>
      </c>
      <c r="B711">
        <f t="shared" si="113"/>
        <v>2.99999857255146E-2</v>
      </c>
      <c r="C711">
        <f t="shared" si="114"/>
        <v>0.1300000142744854</v>
      </c>
      <c r="D711">
        <f t="shared" si="115"/>
        <v>8.0000003806529441E-2</v>
      </c>
      <c r="E711">
        <f t="shared" ref="E711:E774" si="118">P0-SIGN(DeltaThetaDeg)*EXP(-Xi*Wn*A711)*(COS(Wd*A711)-(Xi*Wn-1)/(Wd)*SIN(Wd*A711))*Ppeak</f>
        <v>8.0000007938161047E-2</v>
      </c>
      <c r="P711">
        <f t="shared" si="116"/>
        <v>0</v>
      </c>
      <c r="Q711">
        <f t="shared" si="117"/>
        <v>0</v>
      </c>
    </row>
    <row r="712" spans="1:17" x14ac:dyDescent="0.45">
      <c r="A712">
        <v>3.5249999999999502</v>
      </c>
      <c r="B712">
        <f t="shared" si="113"/>
        <v>2.99999860779529E-2</v>
      </c>
      <c r="C712">
        <f t="shared" si="114"/>
        <v>0.1300000139220471</v>
      </c>
      <c r="D712">
        <f t="shared" si="115"/>
        <v>8.0000003712545897E-2</v>
      </c>
      <c r="E712">
        <f t="shared" si="118"/>
        <v>8.0000007528911399E-2</v>
      </c>
      <c r="P712">
        <f t="shared" si="116"/>
        <v>0</v>
      </c>
      <c r="Q712">
        <f t="shared" si="117"/>
        <v>0</v>
      </c>
    </row>
    <row r="713" spans="1:17" x14ac:dyDescent="0.45">
      <c r="A713">
        <v>3.5299999999999501</v>
      </c>
      <c r="B713">
        <f t="shared" ref="B713:B776" si="119">P0-Ppeak*(1+Marge_haute)*EXP(-Sigma*A711)-Tunnel</f>
        <v>2.9999986421689467E-2</v>
      </c>
      <c r="C713">
        <f t="shared" ref="C713:C776" si="120">P0+Ppeak*(1+Marge_haute)*EXP(-Sigma*A711)+Tunnel</f>
        <v>0.13000001357831054</v>
      </c>
      <c r="D713">
        <f t="shared" ref="D713:D776" si="121">P0-SIGN(DeltaThetaDeg)*Marge_basse*Ppeak*EXP(-Sigma*A711)</f>
        <v>8.0000003620882817E-2</v>
      </c>
      <c r="E713">
        <f t="shared" si="118"/>
        <v>8.0000007129682776E-2</v>
      </c>
      <c r="P713">
        <f t="shared" si="116"/>
        <v>0</v>
      </c>
      <c r="Q713">
        <f t="shared" si="117"/>
        <v>0</v>
      </c>
    </row>
    <row r="714" spans="1:17" x14ac:dyDescent="0.45">
      <c r="A714">
        <v>3.53499999999995</v>
      </c>
      <c r="B714">
        <f t="shared" si="119"/>
        <v>2.9999986756939143E-2</v>
      </c>
      <c r="C714">
        <f t="shared" si="120"/>
        <v>0.13000001324306087</v>
      </c>
      <c r="D714">
        <f t="shared" si="121"/>
        <v>8.0000003531482899E-2</v>
      </c>
      <c r="E714">
        <f t="shared" si="118"/>
        <v>8.0000006740513441E-2</v>
      </c>
      <c r="P714">
        <f t="shared" si="116"/>
        <v>0</v>
      </c>
      <c r="Q714">
        <f t="shared" si="117"/>
        <v>0</v>
      </c>
    </row>
    <row r="715" spans="1:17" x14ac:dyDescent="0.45">
      <c r="A715">
        <v>3.5399999999999499</v>
      </c>
      <c r="B715">
        <f t="shared" si="119"/>
        <v>2.9999987083911481E-2</v>
      </c>
      <c r="C715">
        <f t="shared" si="120"/>
        <v>0.13000001291608854</v>
      </c>
      <c r="D715">
        <f t="shared" si="121"/>
        <v>8.0000003444290271E-2</v>
      </c>
      <c r="E715">
        <f t="shared" si="118"/>
        <v>8.0000006361426512E-2</v>
      </c>
      <c r="P715">
        <f t="shared" ref="P715:P778" si="122">IF(EMT_simulation,N711,N715)</f>
        <v>0</v>
      </c>
      <c r="Q715">
        <f t="shared" ref="Q715:Q778" si="123">IF(EMT_simulation,O711,O715)</f>
        <v>0</v>
      </c>
    </row>
    <row r="716" spans="1:17" x14ac:dyDescent="0.45">
      <c r="A716">
        <v>3.5449999999999502</v>
      </c>
      <c r="B716">
        <f t="shared" si="119"/>
        <v>2.9999987402810846E-2</v>
      </c>
      <c r="C716">
        <f t="shared" si="120"/>
        <v>0.13000001259718916</v>
      </c>
      <c r="D716">
        <f t="shared" si="121"/>
        <v>8.0000003359250449E-2</v>
      </c>
      <c r="E716">
        <f t="shared" si="118"/>
        <v>8.0000005992430651E-2</v>
      </c>
      <c r="P716">
        <f t="shared" si="122"/>
        <v>0</v>
      </c>
      <c r="Q716">
        <f t="shared" si="123"/>
        <v>0</v>
      </c>
    </row>
    <row r="717" spans="1:17" x14ac:dyDescent="0.45">
      <c r="A717">
        <v>3.5499999999999501</v>
      </c>
      <c r="B717">
        <f t="shared" si="119"/>
        <v>2.9999987713836551E-2</v>
      </c>
      <c r="C717">
        <f t="shared" si="120"/>
        <v>0.13000001228616345</v>
      </c>
      <c r="D717">
        <f t="shared" si="121"/>
        <v>8.0000003276310253E-2</v>
      </c>
      <c r="E717">
        <f t="shared" si="118"/>
        <v>8.0000005633520804E-2</v>
      </c>
      <c r="P717">
        <f t="shared" si="122"/>
        <v>0</v>
      </c>
      <c r="Q717">
        <f t="shared" si="123"/>
        <v>0</v>
      </c>
    </row>
    <row r="718" spans="1:17" x14ac:dyDescent="0.45">
      <c r="A718">
        <v>3.55499999999995</v>
      </c>
      <c r="B718">
        <f t="shared" si="119"/>
        <v>2.999998801718301E-2</v>
      </c>
      <c r="C718">
        <f t="shared" si="120"/>
        <v>0.13000001198281699</v>
      </c>
      <c r="D718">
        <f t="shared" si="121"/>
        <v>8.0000003195417863E-2</v>
      </c>
      <c r="E718">
        <f t="shared" si="118"/>
        <v>8.0000005284678821E-2</v>
      </c>
      <c r="P718">
        <f t="shared" si="122"/>
        <v>0</v>
      </c>
      <c r="Q718">
        <f t="shared" si="123"/>
        <v>0</v>
      </c>
    </row>
    <row r="719" spans="1:17" x14ac:dyDescent="0.45">
      <c r="A719">
        <v>3.5599999999999499</v>
      </c>
      <c r="B719">
        <f t="shared" si="119"/>
        <v>2.9999988313039821E-2</v>
      </c>
      <c r="C719">
        <f t="shared" si="120"/>
        <v>0.13000001168696018</v>
      </c>
      <c r="D719">
        <f t="shared" si="121"/>
        <v>8.0000003116522722E-2</v>
      </c>
      <c r="E719">
        <f t="shared" si="118"/>
        <v>8.0000004945874198E-2</v>
      </c>
      <c r="P719">
        <f t="shared" si="122"/>
        <v>0</v>
      </c>
      <c r="Q719">
        <f t="shared" si="123"/>
        <v>0</v>
      </c>
    </row>
    <row r="720" spans="1:17" x14ac:dyDescent="0.45">
      <c r="A720">
        <v>3.5649999999999502</v>
      </c>
      <c r="B720">
        <f t="shared" si="119"/>
        <v>2.9999988601591893E-2</v>
      </c>
      <c r="C720">
        <f t="shared" si="120"/>
        <v>0.13000001139840811</v>
      </c>
      <c r="D720">
        <f t="shared" si="121"/>
        <v>8.0000003039575496E-2</v>
      </c>
      <c r="E720">
        <f t="shared" si="118"/>
        <v>8.0000004617064607E-2</v>
      </c>
      <c r="P720">
        <f t="shared" si="122"/>
        <v>0</v>
      </c>
      <c r="Q720">
        <f t="shared" si="123"/>
        <v>0</v>
      </c>
    </row>
    <row r="721" spans="1:17" x14ac:dyDescent="0.45">
      <c r="A721">
        <v>3.5699999999999501</v>
      </c>
      <c r="B721">
        <f t="shared" si="119"/>
        <v>2.9999988883019593E-2</v>
      </c>
      <c r="C721">
        <f t="shared" si="120"/>
        <v>0.1300000111169804</v>
      </c>
      <c r="D721">
        <f t="shared" si="121"/>
        <v>8.0000002964528111E-2</v>
      </c>
      <c r="E721">
        <f t="shared" si="118"/>
        <v>8.0000004298196647E-2</v>
      </c>
      <c r="P721">
        <f t="shared" si="122"/>
        <v>0</v>
      </c>
      <c r="Q721">
        <f t="shared" si="123"/>
        <v>0</v>
      </c>
    </row>
    <row r="722" spans="1:17" x14ac:dyDescent="0.45">
      <c r="A722">
        <v>3.57499999999995</v>
      </c>
      <c r="B722">
        <f t="shared" si="119"/>
        <v>2.999998915749881E-2</v>
      </c>
      <c r="C722">
        <f t="shared" si="120"/>
        <v>0.13000001084250118</v>
      </c>
      <c r="D722">
        <f t="shared" si="121"/>
        <v>8.0000002891333646E-2</v>
      </c>
      <c r="E722">
        <f t="shared" si="118"/>
        <v>8.0000003989206342E-2</v>
      </c>
      <c r="P722">
        <f t="shared" si="122"/>
        <v>0</v>
      </c>
      <c r="Q722">
        <f t="shared" si="123"/>
        <v>0</v>
      </c>
    </row>
    <row r="723" spans="1:17" x14ac:dyDescent="0.45">
      <c r="A723">
        <v>3.5799999999999499</v>
      </c>
      <c r="B723">
        <f t="shared" si="119"/>
        <v>2.9999989425201129E-2</v>
      </c>
      <c r="C723">
        <f t="shared" si="120"/>
        <v>0.13000001057479887</v>
      </c>
      <c r="D723">
        <f t="shared" si="121"/>
        <v>8.0000002819946375E-2</v>
      </c>
      <c r="E723">
        <f t="shared" si="118"/>
        <v>8.0000003690019833E-2</v>
      </c>
      <c r="P723">
        <f t="shared" si="122"/>
        <v>0</v>
      </c>
      <c r="Q723">
        <f t="shared" si="123"/>
        <v>0</v>
      </c>
    </row>
    <row r="724" spans="1:17" x14ac:dyDescent="0.45">
      <c r="A724">
        <v>3.5849999999999498</v>
      </c>
      <c r="B724">
        <f t="shared" si="119"/>
        <v>2.9999989686293832E-2</v>
      </c>
      <c r="C724">
        <f t="shared" si="120"/>
        <v>0.13000001031370617</v>
      </c>
      <c r="D724">
        <f t="shared" si="121"/>
        <v>8.0000002750321639E-2</v>
      </c>
      <c r="E724">
        <f t="shared" si="118"/>
        <v>8.0000003400553937E-2</v>
      </c>
      <c r="P724">
        <f t="shared" si="122"/>
        <v>0</v>
      </c>
      <c r="Q724">
        <f t="shared" si="123"/>
        <v>0</v>
      </c>
    </row>
    <row r="725" spans="1:17" x14ac:dyDescent="0.45">
      <c r="A725">
        <v>3.5899999999999501</v>
      </c>
      <c r="B725">
        <f t="shared" si="119"/>
        <v>2.999998994094015E-2</v>
      </c>
      <c r="C725">
        <f t="shared" si="120"/>
        <v>0.13000001005905987</v>
      </c>
      <c r="D725">
        <f t="shared" si="121"/>
        <v>8.0000002682415958E-2</v>
      </c>
      <c r="E725">
        <f t="shared" si="118"/>
        <v>8.0000003120716645E-2</v>
      </c>
      <c r="P725">
        <f t="shared" si="122"/>
        <v>0</v>
      </c>
      <c r="Q725">
        <f t="shared" si="123"/>
        <v>0</v>
      </c>
    </row>
    <row r="726" spans="1:17" x14ac:dyDescent="0.45">
      <c r="A726">
        <v>3.59499999999995</v>
      </c>
      <c r="B726">
        <f t="shared" si="119"/>
        <v>2.9999990189299219E-2</v>
      </c>
      <c r="C726">
        <f t="shared" si="120"/>
        <v>0.13000000981070078</v>
      </c>
      <c r="D726">
        <f t="shared" si="121"/>
        <v>8.000000261618688E-2</v>
      </c>
      <c r="E726">
        <f t="shared" si="118"/>
        <v>8.0000002850407786E-2</v>
      </c>
      <c r="P726">
        <f t="shared" si="122"/>
        <v>0</v>
      </c>
      <c r="Q726">
        <f t="shared" si="123"/>
        <v>0</v>
      </c>
    </row>
    <row r="727" spans="1:17" x14ac:dyDescent="0.45">
      <c r="A727">
        <v>3.5999999999999499</v>
      </c>
      <c r="B727">
        <f t="shared" si="119"/>
        <v>2.9999990431526291E-2</v>
      </c>
      <c r="C727">
        <f t="shared" si="120"/>
        <v>0.13000000956847371</v>
      </c>
      <c r="D727">
        <f t="shared" si="121"/>
        <v>8.0000002551592994E-2</v>
      </c>
      <c r="E727">
        <f t="shared" si="118"/>
        <v>8.0000002589519434E-2</v>
      </c>
      <c r="P727">
        <f t="shared" si="122"/>
        <v>0</v>
      </c>
      <c r="Q727">
        <f t="shared" si="123"/>
        <v>0</v>
      </c>
    </row>
    <row r="728" spans="1:17" x14ac:dyDescent="0.45">
      <c r="A728">
        <v>3.6049999999999498</v>
      </c>
      <c r="B728">
        <f t="shared" si="119"/>
        <v>2.9999990667772744E-2</v>
      </c>
      <c r="C728">
        <f t="shared" si="120"/>
        <v>0.13000000933222727</v>
      </c>
      <c r="D728">
        <f t="shared" si="121"/>
        <v>8.000000248859393E-2</v>
      </c>
      <c r="E728">
        <f t="shared" si="118"/>
        <v>8.0000002337936554E-2</v>
      </c>
      <c r="P728">
        <f t="shared" si="122"/>
        <v>0</v>
      </c>
      <c r="Q728">
        <f t="shared" si="123"/>
        <v>0</v>
      </c>
    </row>
    <row r="729" spans="1:17" x14ac:dyDescent="0.45">
      <c r="A729">
        <v>3.6099999999999501</v>
      </c>
      <c r="B729">
        <f t="shared" si="119"/>
        <v>2.9999990898186252E-2</v>
      </c>
      <c r="C729">
        <f t="shared" si="120"/>
        <v>0.13000000910181375</v>
      </c>
      <c r="D729">
        <f t="shared" si="121"/>
        <v>8.000000242715033E-2</v>
      </c>
      <c r="E729">
        <f t="shared" si="118"/>
        <v>8.0000002095537384E-2</v>
      </c>
      <c r="P729">
        <f t="shared" si="122"/>
        <v>0</v>
      </c>
      <c r="Q729">
        <f t="shared" si="123"/>
        <v>0</v>
      </c>
    </row>
    <row r="730" spans="1:17" x14ac:dyDescent="0.45">
      <c r="A730">
        <v>3.61499999999995</v>
      </c>
      <c r="B730">
        <f t="shared" si="119"/>
        <v>2.9999991122910838E-2</v>
      </c>
      <c r="C730">
        <f t="shared" si="120"/>
        <v>0.13000000887708918</v>
      </c>
      <c r="D730">
        <f t="shared" si="121"/>
        <v>8.000000236722378E-2</v>
      </c>
      <c r="E730">
        <f t="shared" si="118"/>
        <v>8.0000001862194012E-2</v>
      </c>
      <c r="P730">
        <f t="shared" si="122"/>
        <v>0</v>
      </c>
      <c r="Q730">
        <f t="shared" si="123"/>
        <v>0</v>
      </c>
    </row>
    <row r="731" spans="1:17" x14ac:dyDescent="0.45">
      <c r="A731">
        <v>3.6199999999999499</v>
      </c>
      <c r="B731">
        <f t="shared" si="119"/>
        <v>2.9999991342086946E-2</v>
      </c>
      <c r="C731">
        <f t="shared" si="120"/>
        <v>0.13000000865791306</v>
      </c>
      <c r="D731">
        <f t="shared" si="121"/>
        <v>8.000000230877681E-2</v>
      </c>
      <c r="E731">
        <f t="shared" si="118"/>
        <v>8.0000001637772794E-2</v>
      </c>
      <c r="P731">
        <f t="shared" si="122"/>
        <v>0</v>
      </c>
      <c r="Q731">
        <f t="shared" si="123"/>
        <v>0</v>
      </c>
    </row>
    <row r="732" spans="1:17" x14ac:dyDescent="0.45">
      <c r="A732">
        <v>3.6249999999999498</v>
      </c>
      <c r="B732">
        <f t="shared" si="119"/>
        <v>2.9999991555851591E-2</v>
      </c>
      <c r="C732">
        <f t="shared" si="120"/>
        <v>0.13000000844414841</v>
      </c>
      <c r="D732">
        <f t="shared" si="121"/>
        <v>8.0000002251772909E-2</v>
      </c>
      <c r="E732">
        <f t="shared" si="118"/>
        <v>8.0000001422134842E-2</v>
      </c>
      <c r="P732">
        <f t="shared" si="122"/>
        <v>0</v>
      </c>
      <c r="Q732">
        <f t="shared" si="123"/>
        <v>0</v>
      </c>
    </row>
    <row r="733" spans="1:17" x14ac:dyDescent="0.45">
      <c r="A733">
        <v>3.6299999999999502</v>
      </c>
      <c r="B733">
        <f t="shared" si="119"/>
        <v>2.999999176433836E-2</v>
      </c>
      <c r="C733">
        <f t="shared" si="120"/>
        <v>0.13000000823566166</v>
      </c>
      <c r="D733">
        <f t="shared" si="121"/>
        <v>8.0000002196176437E-2</v>
      </c>
      <c r="E733">
        <f t="shared" si="118"/>
        <v>8.0000001215136424E-2</v>
      </c>
      <c r="P733">
        <f t="shared" si="122"/>
        <v>0</v>
      </c>
      <c r="Q733">
        <f t="shared" si="123"/>
        <v>0</v>
      </c>
    </row>
    <row r="734" spans="1:17" x14ac:dyDescent="0.45">
      <c r="A734">
        <v>3.63499999999995</v>
      </c>
      <c r="B734">
        <f t="shared" si="119"/>
        <v>2.9999991967677567E-2</v>
      </c>
      <c r="C734">
        <f t="shared" si="120"/>
        <v>0.13000000803232242</v>
      </c>
      <c r="D734">
        <f t="shared" si="121"/>
        <v>8.0000002141952645E-2</v>
      </c>
      <c r="E734">
        <f t="shared" si="118"/>
        <v>8.0000001016629435E-2</v>
      </c>
      <c r="P734">
        <f t="shared" si="122"/>
        <v>0</v>
      </c>
      <c r="Q734">
        <f t="shared" si="123"/>
        <v>0</v>
      </c>
    </row>
    <row r="735" spans="1:17" x14ac:dyDescent="0.45">
      <c r="A735">
        <v>3.6399999999999499</v>
      </c>
      <c r="B735">
        <f t="shared" si="119"/>
        <v>2.9999992165996317E-2</v>
      </c>
      <c r="C735">
        <f t="shared" si="120"/>
        <v>0.13000000783400367</v>
      </c>
      <c r="D735">
        <f t="shared" si="121"/>
        <v>8.0000002089067657E-2</v>
      </c>
      <c r="E735">
        <f t="shared" si="118"/>
        <v>8.0000000826461776E-2</v>
      </c>
      <c r="P735">
        <f t="shared" si="122"/>
        <v>0</v>
      </c>
      <c r="Q735">
        <f t="shared" si="123"/>
        <v>0</v>
      </c>
    </row>
    <row r="736" spans="1:17" x14ac:dyDescent="0.45">
      <c r="A736">
        <v>3.6449999999999498</v>
      </c>
      <c r="B736">
        <f t="shared" si="119"/>
        <v>2.9999992359418554E-2</v>
      </c>
      <c r="C736">
        <f t="shared" si="120"/>
        <v>0.13000000764058145</v>
      </c>
      <c r="D736">
        <f t="shared" si="121"/>
        <v>8.0000002037488388E-2</v>
      </c>
      <c r="E736">
        <f t="shared" si="118"/>
        <v>8.0000000644477751E-2</v>
      </c>
      <c r="P736">
        <f t="shared" si="122"/>
        <v>0</v>
      </c>
      <c r="Q736">
        <f t="shared" si="123"/>
        <v>0</v>
      </c>
    </row>
    <row r="737" spans="1:17" x14ac:dyDescent="0.45">
      <c r="A737">
        <v>3.6499999999999502</v>
      </c>
      <c r="B737">
        <f t="shared" si="119"/>
        <v>2.999999254806518E-2</v>
      </c>
      <c r="C737">
        <f t="shared" si="120"/>
        <v>0.13000000745193482</v>
      </c>
      <c r="D737">
        <f t="shared" si="121"/>
        <v>8.0000001987182615E-2</v>
      </c>
      <c r="E737">
        <f t="shared" si="118"/>
        <v>8.0000000470518473E-2</v>
      </c>
      <c r="P737">
        <f t="shared" si="122"/>
        <v>0</v>
      </c>
      <c r="Q737">
        <f t="shared" si="123"/>
        <v>0</v>
      </c>
    </row>
    <row r="738" spans="1:17" x14ac:dyDescent="0.45">
      <c r="A738">
        <v>3.6549999999999501</v>
      </c>
      <c r="B738">
        <f t="shared" si="119"/>
        <v>2.9999992732054101E-2</v>
      </c>
      <c r="C738">
        <f t="shared" si="120"/>
        <v>0.13000000726794592</v>
      </c>
      <c r="D738">
        <f t="shared" si="121"/>
        <v>8.0000001938118903E-2</v>
      </c>
      <c r="E738">
        <f t="shared" si="118"/>
        <v>8.0000000304422197E-2</v>
      </c>
      <c r="P738">
        <f t="shared" si="122"/>
        <v>0</v>
      </c>
      <c r="Q738">
        <f t="shared" si="123"/>
        <v>0</v>
      </c>
    </row>
    <row r="739" spans="1:17" x14ac:dyDescent="0.45">
      <c r="A739">
        <v>3.65999999999995</v>
      </c>
      <c r="B739">
        <f t="shared" si="119"/>
        <v>2.9999992911500323E-2</v>
      </c>
      <c r="C739">
        <f t="shared" si="120"/>
        <v>0.13000000708849968</v>
      </c>
      <c r="D739">
        <f t="shared" si="121"/>
        <v>8.0000001890266584E-2</v>
      </c>
      <c r="E739">
        <f t="shared" si="118"/>
        <v>8.000000014602468E-2</v>
      </c>
      <c r="P739">
        <f t="shared" si="122"/>
        <v>0</v>
      </c>
      <c r="Q739">
        <f t="shared" si="123"/>
        <v>0</v>
      </c>
    </row>
    <row r="740" spans="1:17" x14ac:dyDescent="0.45">
      <c r="A740">
        <v>3.6649999999999499</v>
      </c>
      <c r="B740">
        <f t="shared" si="119"/>
        <v>2.9999993086516005E-2</v>
      </c>
      <c r="C740">
        <f t="shared" si="120"/>
        <v>0.13000000691348401</v>
      </c>
      <c r="D740">
        <f t="shared" si="121"/>
        <v>8.0000001843595736E-2</v>
      </c>
      <c r="E740">
        <f t="shared" si="118"/>
        <v>7.9999999995159554E-2</v>
      </c>
      <c r="P740">
        <f t="shared" si="122"/>
        <v>0</v>
      </c>
      <c r="Q740">
        <f t="shared" si="123"/>
        <v>0</v>
      </c>
    </row>
    <row r="741" spans="1:17" x14ac:dyDescent="0.45">
      <c r="A741">
        <v>3.6699999999999502</v>
      </c>
      <c r="B741">
        <f t="shared" si="119"/>
        <v>2.9999993257210533E-2</v>
      </c>
      <c r="C741">
        <f t="shared" si="120"/>
        <v>0.13000000674278947</v>
      </c>
      <c r="D741">
        <f t="shared" si="121"/>
        <v>8.0000001798077189E-2</v>
      </c>
      <c r="E741">
        <f t="shared" si="118"/>
        <v>7.9999999851658593E-2</v>
      </c>
      <c r="P741">
        <f t="shared" si="122"/>
        <v>0</v>
      </c>
      <c r="Q741">
        <f t="shared" si="123"/>
        <v>0</v>
      </c>
    </row>
    <row r="742" spans="1:17" x14ac:dyDescent="0.45">
      <c r="A742">
        <v>3.6749999999999501</v>
      </c>
      <c r="B742">
        <f t="shared" si="119"/>
        <v>2.9999993423690599E-2</v>
      </c>
      <c r="C742">
        <f t="shared" si="120"/>
        <v>0.13000000657630939</v>
      </c>
      <c r="D742">
        <f t="shared" si="121"/>
        <v>8.0000001753682506E-2</v>
      </c>
      <c r="E742">
        <f t="shared" si="118"/>
        <v>7.9999999715352071E-2</v>
      </c>
      <c r="P742">
        <f t="shared" si="122"/>
        <v>0</v>
      </c>
      <c r="Q742">
        <f t="shared" si="123"/>
        <v>0</v>
      </c>
    </row>
    <row r="743" spans="1:17" x14ac:dyDescent="0.45">
      <c r="A743">
        <v>3.67999999999995</v>
      </c>
      <c r="B743">
        <f t="shared" si="119"/>
        <v>2.9999993586060258E-2</v>
      </c>
      <c r="C743">
        <f t="shared" si="120"/>
        <v>0.13000000641393974</v>
      </c>
      <c r="D743">
        <f t="shared" si="121"/>
        <v>8.0000001710383933E-2</v>
      </c>
      <c r="E743">
        <f t="shared" si="118"/>
        <v>7.9999999586069043E-2</v>
      </c>
      <c r="P743">
        <f t="shared" si="122"/>
        <v>0</v>
      </c>
      <c r="Q743">
        <f t="shared" si="123"/>
        <v>0</v>
      </c>
    </row>
    <row r="744" spans="1:17" x14ac:dyDescent="0.45">
      <c r="A744">
        <v>3.6849999999999499</v>
      </c>
      <c r="B744">
        <f t="shared" si="119"/>
        <v>2.9999993744421E-2</v>
      </c>
      <c r="C744">
        <f t="shared" si="120"/>
        <v>0.130000006255579</v>
      </c>
      <c r="D744">
        <f t="shared" si="121"/>
        <v>8.0000001668154408E-2</v>
      </c>
      <c r="E744">
        <f t="shared" si="118"/>
        <v>7.9999999463637603E-2</v>
      </c>
      <c r="P744">
        <f t="shared" si="122"/>
        <v>0</v>
      </c>
      <c r="Q744">
        <f t="shared" si="123"/>
        <v>0</v>
      </c>
    </row>
    <row r="745" spans="1:17" x14ac:dyDescent="0.45">
      <c r="A745">
        <v>3.6899999999999502</v>
      </c>
      <c r="B745">
        <f t="shared" si="119"/>
        <v>2.9999993898871799E-2</v>
      </c>
      <c r="C745">
        <f t="shared" si="120"/>
        <v>0.13000000610112822</v>
      </c>
      <c r="D745">
        <f t="shared" si="121"/>
        <v>8.0000001626967521E-2</v>
      </c>
      <c r="E745">
        <f t="shared" si="118"/>
        <v>7.9999999347885237E-2</v>
      </c>
      <c r="P745">
        <f t="shared" si="122"/>
        <v>0</v>
      </c>
      <c r="Q745">
        <f t="shared" si="123"/>
        <v>0</v>
      </c>
    </row>
    <row r="746" spans="1:17" x14ac:dyDescent="0.45">
      <c r="A746">
        <v>3.6949999999999501</v>
      </c>
      <c r="B746">
        <f t="shared" si="119"/>
        <v>2.999999404950919E-2</v>
      </c>
      <c r="C746">
        <f t="shared" si="120"/>
        <v>0.13000000595049083</v>
      </c>
      <c r="D746">
        <f t="shared" si="121"/>
        <v>8.0000001586797556E-2</v>
      </c>
      <c r="E746">
        <f t="shared" si="118"/>
        <v>7.9999999238638986E-2</v>
      </c>
      <c r="P746">
        <f t="shared" si="122"/>
        <v>0</v>
      </c>
      <c r="Q746">
        <f t="shared" si="123"/>
        <v>0</v>
      </c>
    </row>
    <row r="747" spans="1:17" x14ac:dyDescent="0.45">
      <c r="A747">
        <v>3.69999999999995</v>
      </c>
      <c r="B747">
        <f t="shared" si="119"/>
        <v>2.9999994196427321E-2</v>
      </c>
      <c r="C747">
        <f t="shared" si="120"/>
        <v>0.13000000580357268</v>
      </c>
      <c r="D747">
        <f t="shared" si="121"/>
        <v>8.0000001547619382E-2</v>
      </c>
      <c r="E747">
        <f t="shared" si="118"/>
        <v>7.9999999135725752E-2</v>
      </c>
      <c r="P747">
        <f t="shared" si="122"/>
        <v>0</v>
      </c>
      <c r="Q747">
        <f t="shared" si="123"/>
        <v>0</v>
      </c>
    </row>
    <row r="748" spans="1:17" x14ac:dyDescent="0.45">
      <c r="A748">
        <v>3.7049999999999499</v>
      </c>
      <c r="B748">
        <f t="shared" si="119"/>
        <v>2.9999994339718047E-2</v>
      </c>
      <c r="C748">
        <f t="shared" si="120"/>
        <v>0.13000000566028197</v>
      </c>
      <c r="D748">
        <f t="shared" si="121"/>
        <v>8.0000001509408517E-2</v>
      </c>
      <c r="E748">
        <f t="shared" si="118"/>
        <v>7.9999999038972508E-2</v>
      </c>
      <c r="P748">
        <f t="shared" si="122"/>
        <v>0</v>
      </c>
      <c r="Q748">
        <f t="shared" si="123"/>
        <v>0</v>
      </c>
    </row>
    <row r="749" spans="1:17" x14ac:dyDescent="0.45">
      <c r="A749">
        <v>3.7099999999999498</v>
      </c>
      <c r="B749">
        <f t="shared" si="119"/>
        <v>2.9999994479470909E-2</v>
      </c>
      <c r="C749">
        <f t="shared" si="120"/>
        <v>0.13000000552052909</v>
      </c>
      <c r="D749">
        <f t="shared" si="121"/>
        <v>8.0000001472141091E-2</v>
      </c>
      <c r="E749">
        <f t="shared" si="118"/>
        <v>7.9999998948206558E-2</v>
      </c>
      <c r="P749">
        <f t="shared" si="122"/>
        <v>0</v>
      </c>
      <c r="Q749">
        <f t="shared" si="123"/>
        <v>0</v>
      </c>
    </row>
    <row r="750" spans="1:17" x14ac:dyDescent="0.45">
      <c r="A750">
        <v>3.7149999999999501</v>
      </c>
      <c r="B750">
        <f t="shared" si="119"/>
        <v>2.9999994615773254E-2</v>
      </c>
      <c r="C750">
        <f t="shared" si="120"/>
        <v>0.13000000538422674</v>
      </c>
      <c r="D750">
        <f t="shared" si="121"/>
        <v>8.0000001435793805E-2</v>
      </c>
      <c r="E750">
        <f t="shared" si="118"/>
        <v>7.9999998863255692E-2</v>
      </c>
      <c r="P750">
        <f t="shared" si="122"/>
        <v>0</v>
      </c>
      <c r="Q750">
        <f t="shared" si="123"/>
        <v>0</v>
      </c>
    </row>
    <row r="751" spans="1:17" x14ac:dyDescent="0.45">
      <c r="A751">
        <v>3.71999999999995</v>
      </c>
      <c r="B751">
        <f t="shared" si="119"/>
        <v>2.999999474871029E-2</v>
      </c>
      <c r="C751">
        <f t="shared" si="120"/>
        <v>0.13000000525128971</v>
      </c>
      <c r="D751">
        <f t="shared" si="121"/>
        <v>8.0000001400343926E-2</v>
      </c>
      <c r="E751">
        <f t="shared" si="118"/>
        <v>7.9999998783948464E-2</v>
      </c>
      <c r="P751">
        <f t="shared" si="122"/>
        <v>0</v>
      </c>
      <c r="Q751">
        <f t="shared" si="123"/>
        <v>0</v>
      </c>
    </row>
    <row r="752" spans="1:17" x14ac:dyDescent="0.45">
      <c r="A752">
        <v>3.7249999999999499</v>
      </c>
      <c r="B752">
        <f t="shared" si="119"/>
        <v>2.9999994878365091E-2</v>
      </c>
      <c r="C752">
        <f t="shared" si="120"/>
        <v>0.1300000051216349</v>
      </c>
      <c r="D752">
        <f t="shared" si="121"/>
        <v>8.0000001365769305E-2</v>
      </c>
      <c r="E752">
        <f t="shared" si="118"/>
        <v>7.9999998710114303E-2</v>
      </c>
      <c r="P752">
        <f t="shared" si="122"/>
        <v>0</v>
      </c>
      <c r="Q752">
        <f t="shared" si="123"/>
        <v>0</v>
      </c>
    </row>
    <row r="753" spans="1:17" x14ac:dyDescent="0.45">
      <c r="A753">
        <v>3.7299999999999498</v>
      </c>
      <c r="B753">
        <f t="shared" si="119"/>
        <v>2.9999995004818703E-2</v>
      </c>
      <c r="C753">
        <f t="shared" si="120"/>
        <v>0.1300000049951813</v>
      </c>
      <c r="D753">
        <f t="shared" si="121"/>
        <v>8.0000001332048348E-2</v>
      </c>
      <c r="E753">
        <f t="shared" si="118"/>
        <v>7.9999998641583761E-2</v>
      </c>
      <c r="P753">
        <f t="shared" si="122"/>
        <v>0</v>
      </c>
      <c r="Q753">
        <f t="shared" si="123"/>
        <v>0</v>
      </c>
    </row>
    <row r="754" spans="1:17" x14ac:dyDescent="0.45">
      <c r="A754">
        <v>3.7349999999999501</v>
      </c>
      <c r="B754">
        <f t="shared" si="119"/>
        <v>2.9999995128150173E-2</v>
      </c>
      <c r="C754">
        <f t="shared" si="120"/>
        <v>0.13000000487184982</v>
      </c>
      <c r="D754">
        <f t="shared" si="121"/>
        <v>8.0000001299159962E-2</v>
      </c>
      <c r="E754">
        <f t="shared" si="118"/>
        <v>7.9999998578188611E-2</v>
      </c>
      <c r="P754">
        <f t="shared" si="122"/>
        <v>0</v>
      </c>
      <c r="Q754">
        <f t="shared" si="123"/>
        <v>0</v>
      </c>
    </row>
    <row r="755" spans="1:17" x14ac:dyDescent="0.45">
      <c r="A755">
        <v>3.73999999999995</v>
      </c>
      <c r="B755">
        <f t="shared" si="119"/>
        <v>2.9999995248436578E-2</v>
      </c>
      <c r="C755">
        <f t="shared" si="120"/>
        <v>0.13000000475156342</v>
      </c>
      <c r="D755">
        <f t="shared" si="121"/>
        <v>8.0000001267083579E-2</v>
      </c>
      <c r="E755">
        <f t="shared" si="118"/>
        <v>7.9999998519762111E-2</v>
      </c>
      <c r="P755">
        <f t="shared" si="122"/>
        <v>0</v>
      </c>
      <c r="Q755">
        <f t="shared" si="123"/>
        <v>0</v>
      </c>
    </row>
    <row r="756" spans="1:17" x14ac:dyDescent="0.45">
      <c r="A756">
        <v>3.7449999999999499</v>
      </c>
      <c r="B756">
        <f t="shared" si="119"/>
        <v>2.9999995365753096E-2</v>
      </c>
      <c r="C756">
        <f t="shared" si="120"/>
        <v>0.13000000463424691</v>
      </c>
      <c r="D756">
        <f t="shared" si="121"/>
        <v>8.0000001235799173E-2</v>
      </c>
      <c r="E756">
        <f t="shared" si="118"/>
        <v>7.9999998466139047E-2</v>
      </c>
      <c r="P756">
        <f t="shared" si="122"/>
        <v>0</v>
      </c>
      <c r="Q756">
        <f t="shared" si="123"/>
        <v>0</v>
      </c>
    </row>
    <row r="757" spans="1:17" x14ac:dyDescent="0.45">
      <c r="A757">
        <v>3.7499999999999498</v>
      </c>
      <c r="B757">
        <f t="shared" si="119"/>
        <v>2.9999995480173056E-2</v>
      </c>
      <c r="C757">
        <f t="shared" si="120"/>
        <v>0.13000000451982696</v>
      </c>
      <c r="D757">
        <f t="shared" si="121"/>
        <v>8.0000001205287191E-2</v>
      </c>
      <c r="E757">
        <f t="shared" si="118"/>
        <v>7.9999998417155938E-2</v>
      </c>
      <c r="P757">
        <f t="shared" si="122"/>
        <v>0</v>
      </c>
      <c r="Q757">
        <f t="shared" si="123"/>
        <v>0</v>
      </c>
    </row>
    <row r="758" spans="1:17" x14ac:dyDescent="0.45">
      <c r="A758">
        <v>3.7549999999999502</v>
      </c>
      <c r="B758">
        <f t="shared" si="119"/>
        <v>2.9999995591767983E-2</v>
      </c>
      <c r="C758">
        <f t="shared" si="120"/>
        <v>0.13000000440823201</v>
      </c>
      <c r="D758">
        <f t="shared" si="121"/>
        <v>8.0000001175528537E-2</v>
      </c>
      <c r="E758">
        <f t="shared" si="118"/>
        <v>7.9999998372651149E-2</v>
      </c>
      <c r="P758">
        <f t="shared" si="122"/>
        <v>0</v>
      </c>
      <c r="Q758">
        <f t="shared" si="123"/>
        <v>0</v>
      </c>
    </row>
    <row r="759" spans="1:17" x14ac:dyDescent="0.45">
      <c r="A759">
        <v>3.75999999999995</v>
      </c>
      <c r="B759">
        <f t="shared" si="119"/>
        <v>2.9999995700607615E-2</v>
      </c>
      <c r="C759">
        <f t="shared" si="120"/>
        <v>0.1300000042993924</v>
      </c>
      <c r="D759">
        <f t="shared" si="121"/>
        <v>8.0000001146504643E-2</v>
      </c>
      <c r="E759">
        <f t="shared" si="118"/>
        <v>7.999999833246503E-2</v>
      </c>
      <c r="P759">
        <f t="shared" si="122"/>
        <v>0</v>
      </c>
      <c r="Q759">
        <f t="shared" si="123"/>
        <v>0</v>
      </c>
    </row>
    <row r="760" spans="1:17" x14ac:dyDescent="0.45">
      <c r="A760">
        <v>3.7649999999999499</v>
      </c>
      <c r="B760">
        <f t="shared" si="119"/>
        <v>2.9999995806759994E-2</v>
      </c>
      <c r="C760">
        <f t="shared" si="120"/>
        <v>0.13000000419324001</v>
      </c>
      <c r="D760">
        <f t="shared" si="121"/>
        <v>8.0000001118197342E-2</v>
      </c>
      <c r="E760">
        <f t="shared" si="118"/>
        <v>7.9999998296439973E-2</v>
      </c>
      <c r="P760">
        <f t="shared" si="122"/>
        <v>0</v>
      </c>
      <c r="Q760">
        <f t="shared" si="123"/>
        <v>0</v>
      </c>
    </row>
    <row r="761" spans="1:17" x14ac:dyDescent="0.45">
      <c r="A761">
        <v>3.7699999999999498</v>
      </c>
      <c r="B761">
        <f t="shared" si="119"/>
        <v>2.9999995910291455E-2</v>
      </c>
      <c r="C761">
        <f t="shared" si="120"/>
        <v>0.13000000408970855</v>
      </c>
      <c r="D761">
        <f t="shared" si="121"/>
        <v>8.000000109058894E-2</v>
      </c>
      <c r="E761">
        <f t="shared" si="118"/>
        <v>7.9999998264420627E-2</v>
      </c>
      <c r="P761">
        <f t="shared" si="122"/>
        <v>0</v>
      </c>
      <c r="Q761">
        <f t="shared" si="123"/>
        <v>0</v>
      </c>
    </row>
    <row r="762" spans="1:17" x14ac:dyDescent="0.45">
      <c r="A762">
        <v>3.7749999999999502</v>
      </c>
      <c r="B762">
        <f t="shared" si="119"/>
        <v>2.9999996011266725E-2</v>
      </c>
      <c r="C762">
        <f t="shared" si="120"/>
        <v>0.13000000398873329</v>
      </c>
      <c r="D762">
        <f t="shared" si="121"/>
        <v>8.0000001063662216E-2</v>
      </c>
      <c r="E762">
        <f t="shared" si="118"/>
        <v>7.9999998236253866E-2</v>
      </c>
      <c r="P762">
        <f t="shared" si="122"/>
        <v>0</v>
      </c>
      <c r="Q762">
        <f t="shared" si="123"/>
        <v>0</v>
      </c>
    </row>
    <row r="763" spans="1:17" x14ac:dyDescent="0.45">
      <c r="A763">
        <v>3.7799999999999501</v>
      </c>
      <c r="B763">
        <f t="shared" si="119"/>
        <v>2.9999996109748892E-2</v>
      </c>
      <c r="C763">
        <f t="shared" si="120"/>
        <v>0.13000000389025113</v>
      </c>
      <c r="D763">
        <f t="shared" si="121"/>
        <v>8.0000001037400292E-2</v>
      </c>
      <c r="E763">
        <f t="shared" si="118"/>
        <v>7.9999998211789006E-2</v>
      </c>
      <c r="P763">
        <f t="shared" si="122"/>
        <v>0</v>
      </c>
      <c r="Q763">
        <f t="shared" si="123"/>
        <v>0</v>
      </c>
    </row>
    <row r="764" spans="1:17" x14ac:dyDescent="0.45">
      <c r="A764">
        <v>3.78499999999995</v>
      </c>
      <c r="B764">
        <f t="shared" si="119"/>
        <v>2.9999996205799545E-2</v>
      </c>
      <c r="C764">
        <f t="shared" si="120"/>
        <v>0.13000000379420046</v>
      </c>
      <c r="D764">
        <f t="shared" si="121"/>
        <v>8.0000001011786795E-2</v>
      </c>
      <c r="E764">
        <f t="shared" si="118"/>
        <v>7.9999998190877789E-2</v>
      </c>
      <c r="P764">
        <f t="shared" si="122"/>
        <v>0</v>
      </c>
      <c r="Q764">
        <f t="shared" si="123"/>
        <v>0</v>
      </c>
    </row>
    <row r="765" spans="1:17" x14ac:dyDescent="0.45">
      <c r="A765">
        <v>3.7899999999999499</v>
      </c>
      <c r="B765">
        <f t="shared" si="119"/>
        <v>2.9999996299478679E-2</v>
      </c>
      <c r="C765">
        <f t="shared" si="120"/>
        <v>0.13000000370052134</v>
      </c>
      <c r="D765">
        <f t="shared" si="121"/>
        <v>8.0000000986805681E-2</v>
      </c>
      <c r="E765">
        <f t="shared" si="118"/>
        <v>7.9999998173374484E-2</v>
      </c>
      <c r="P765">
        <f t="shared" si="122"/>
        <v>0</v>
      </c>
      <c r="Q765">
        <f t="shared" si="123"/>
        <v>0</v>
      </c>
    </row>
    <row r="766" spans="1:17" x14ac:dyDescent="0.45">
      <c r="A766">
        <v>3.7949999999999502</v>
      </c>
      <c r="B766">
        <f t="shared" si="119"/>
        <v>2.9999996390844885E-2</v>
      </c>
      <c r="C766">
        <f t="shared" si="120"/>
        <v>0.13000000360915512</v>
      </c>
      <c r="D766">
        <f t="shared" si="121"/>
        <v>8.0000000962441364E-2</v>
      </c>
      <c r="E766">
        <f t="shared" si="118"/>
        <v>7.9999998159136027E-2</v>
      </c>
      <c r="P766">
        <f t="shared" si="122"/>
        <v>0</v>
      </c>
      <c r="Q766">
        <f t="shared" si="123"/>
        <v>0</v>
      </c>
    </row>
    <row r="767" spans="1:17" x14ac:dyDescent="0.45">
      <c r="A767">
        <v>3.7999999999999501</v>
      </c>
      <c r="B767">
        <f t="shared" si="119"/>
        <v>2.9999996479955243E-2</v>
      </c>
      <c r="C767">
        <f t="shared" si="120"/>
        <v>0.13000000352004476</v>
      </c>
      <c r="D767">
        <f t="shared" si="121"/>
        <v>8.0000000938678609E-2</v>
      </c>
      <c r="E767">
        <f t="shared" si="118"/>
        <v>7.9999998148021959E-2</v>
      </c>
      <c r="P767">
        <f t="shared" si="122"/>
        <v>0</v>
      </c>
      <c r="Q767">
        <f t="shared" si="123"/>
        <v>0</v>
      </c>
    </row>
    <row r="768" spans="1:17" x14ac:dyDescent="0.45">
      <c r="A768">
        <v>3.80499999999995</v>
      </c>
      <c r="B768">
        <f t="shared" si="119"/>
        <v>2.9999996566865458E-2</v>
      </c>
      <c r="C768">
        <f t="shared" si="120"/>
        <v>0.13000000343313456</v>
      </c>
      <c r="D768">
        <f t="shared" si="121"/>
        <v>8.000000091550255E-2</v>
      </c>
      <c r="E768">
        <f t="shared" si="118"/>
        <v>7.9999998139894571E-2</v>
      </c>
      <c r="P768">
        <f t="shared" si="122"/>
        <v>0</v>
      </c>
      <c r="Q768">
        <f t="shared" si="123"/>
        <v>0</v>
      </c>
    </row>
    <row r="769" spans="1:17" x14ac:dyDescent="0.45">
      <c r="A769">
        <v>3.8099999999999499</v>
      </c>
      <c r="B769">
        <f t="shared" si="119"/>
        <v>2.9999996651629848E-2</v>
      </c>
      <c r="C769">
        <f t="shared" si="120"/>
        <v>0.13000000334837014</v>
      </c>
      <c r="D769">
        <f t="shared" si="121"/>
        <v>8.0000000892898715E-2</v>
      </c>
      <c r="E769">
        <f t="shared" si="118"/>
        <v>7.9999998134618944E-2</v>
      </c>
      <c r="P769">
        <f t="shared" si="122"/>
        <v>0</v>
      </c>
      <c r="Q769">
        <f t="shared" si="123"/>
        <v>0</v>
      </c>
    </row>
    <row r="770" spans="1:17" x14ac:dyDescent="0.45">
      <c r="A770">
        <v>3.8149999999999502</v>
      </c>
      <c r="B770">
        <f t="shared" si="119"/>
        <v>2.9999996734301398E-2</v>
      </c>
      <c r="C770">
        <f t="shared" si="120"/>
        <v>0.1300000032656986</v>
      </c>
      <c r="D770">
        <f t="shared" si="121"/>
        <v>8.0000000870852961E-2</v>
      </c>
      <c r="E770">
        <f t="shared" si="118"/>
        <v>7.9999998132062961E-2</v>
      </c>
      <c r="P770">
        <f t="shared" si="122"/>
        <v>0</v>
      </c>
      <c r="Q770">
        <f t="shared" si="123"/>
        <v>0</v>
      </c>
    </row>
    <row r="771" spans="1:17" x14ac:dyDescent="0.45">
      <c r="A771">
        <v>3.8199999999999501</v>
      </c>
      <c r="B771">
        <f t="shared" si="119"/>
        <v>2.999999681493179E-2</v>
      </c>
      <c r="C771">
        <f t="shared" si="120"/>
        <v>0.13000000318506821</v>
      </c>
      <c r="D771">
        <f t="shared" si="121"/>
        <v>8.0000000849351521E-2</v>
      </c>
      <c r="E771">
        <f t="shared" si="118"/>
        <v>7.9999998132097336E-2</v>
      </c>
      <c r="P771">
        <f t="shared" si="122"/>
        <v>0</v>
      </c>
      <c r="Q771">
        <f t="shared" si="123"/>
        <v>0</v>
      </c>
    </row>
    <row r="772" spans="1:17" x14ac:dyDescent="0.45">
      <c r="A772">
        <v>3.82499999999995</v>
      </c>
      <c r="B772">
        <f t="shared" si="119"/>
        <v>2.9999996893571398E-2</v>
      </c>
      <c r="C772">
        <f t="shared" si="120"/>
        <v>0.13000000310642862</v>
      </c>
      <c r="D772">
        <f t="shared" si="121"/>
        <v>8.0000000828380963E-2</v>
      </c>
      <c r="E772">
        <f t="shared" si="118"/>
        <v>7.9999998134595712E-2</v>
      </c>
      <c r="P772">
        <f t="shared" si="122"/>
        <v>0</v>
      </c>
      <c r="Q772">
        <f t="shared" si="123"/>
        <v>0</v>
      </c>
    </row>
    <row r="773" spans="1:17" x14ac:dyDescent="0.45">
      <c r="A773">
        <v>3.8299999999999499</v>
      </c>
      <c r="B773">
        <f t="shared" si="119"/>
        <v>2.9999996970269394E-2</v>
      </c>
      <c r="C773">
        <f t="shared" si="120"/>
        <v>0.13000000302973061</v>
      </c>
      <c r="D773">
        <f t="shared" si="121"/>
        <v>8.0000000807928157E-2</v>
      </c>
      <c r="E773">
        <f t="shared" si="118"/>
        <v>7.9999998139434605E-2</v>
      </c>
      <c r="P773">
        <f t="shared" si="122"/>
        <v>0</v>
      </c>
      <c r="Q773">
        <f t="shared" si="123"/>
        <v>0</v>
      </c>
    </row>
    <row r="774" spans="1:17" x14ac:dyDescent="0.45">
      <c r="A774">
        <v>3.8349999999999498</v>
      </c>
      <c r="B774">
        <f t="shared" si="119"/>
        <v>2.9999997045073709E-2</v>
      </c>
      <c r="C774">
        <f t="shared" si="120"/>
        <v>0.13000000295492631</v>
      </c>
      <c r="D774">
        <f t="shared" si="121"/>
        <v>8.0000000787980349E-2</v>
      </c>
      <c r="E774">
        <f t="shared" si="118"/>
        <v>7.9999998146493487E-2</v>
      </c>
      <c r="P774">
        <f t="shared" si="122"/>
        <v>0</v>
      </c>
      <c r="Q774">
        <f t="shared" si="123"/>
        <v>0</v>
      </c>
    </row>
    <row r="775" spans="1:17" x14ac:dyDescent="0.45">
      <c r="A775">
        <v>3.8399999999999501</v>
      </c>
      <c r="B775">
        <f t="shared" si="119"/>
        <v>2.9999997118031099E-2</v>
      </c>
      <c r="C775">
        <f t="shared" si="120"/>
        <v>0.13000000288196889</v>
      </c>
      <c r="D775">
        <f t="shared" si="121"/>
        <v>8.0000000768525037E-2</v>
      </c>
      <c r="E775">
        <f t="shared" ref="E775:E838" si="124">P0-SIGN(DeltaThetaDeg)*EXP(-Xi*Wn*A775)*(COS(Wd*A775)-(Xi*Wn-1)/(Wd)*SIN(Wd*A775))*Ppeak</f>
        <v>7.999999815565477E-2</v>
      </c>
      <c r="P775">
        <f t="shared" si="122"/>
        <v>0</v>
      </c>
      <c r="Q775">
        <f t="shared" si="123"/>
        <v>0</v>
      </c>
    </row>
    <row r="776" spans="1:17" x14ac:dyDescent="0.45">
      <c r="A776">
        <v>3.84499999999995</v>
      </c>
      <c r="B776">
        <f t="shared" si="119"/>
        <v>2.9999997189187166E-2</v>
      </c>
      <c r="C776">
        <f t="shared" si="120"/>
        <v>0.13000000281081284</v>
      </c>
      <c r="D776">
        <f t="shared" si="121"/>
        <v>8.000000074955009E-2</v>
      </c>
      <c r="E776">
        <f t="shared" si="124"/>
        <v>7.9999998166803837E-2</v>
      </c>
      <c r="P776">
        <f t="shared" si="122"/>
        <v>0</v>
      </c>
      <c r="Q776">
        <f t="shared" si="123"/>
        <v>0</v>
      </c>
    </row>
    <row r="777" spans="1:17" x14ac:dyDescent="0.45">
      <c r="A777">
        <v>3.8499999999999499</v>
      </c>
      <c r="B777">
        <f t="shared" ref="B777:B840" si="125">P0-Ppeak*(1+Marge_haute)*EXP(-Sigma*A775)-Tunnel</f>
        <v>2.9999997258586375E-2</v>
      </c>
      <c r="C777">
        <f t="shared" ref="C777:C840" si="126">P0+Ppeak*(1+Marge_haute)*EXP(-Sigma*A775)+Tunnel</f>
        <v>0.13000000274141363</v>
      </c>
      <c r="D777">
        <f t="shared" ref="D777:D840" si="127">P0-SIGN(DeltaThetaDeg)*Marge_basse*Ppeak*EXP(-Sigma*A775)</f>
        <v>8.000000073104363E-2</v>
      </c>
      <c r="E777">
        <f t="shared" si="124"/>
        <v>7.9999998179829002E-2</v>
      </c>
      <c r="P777">
        <f t="shared" si="122"/>
        <v>0</v>
      </c>
      <c r="Q777">
        <f t="shared" si="123"/>
        <v>0</v>
      </c>
    </row>
    <row r="778" spans="1:17" x14ac:dyDescent="0.45">
      <c r="A778">
        <v>3.8549999999999498</v>
      </c>
      <c r="B778">
        <f t="shared" si="125"/>
        <v>2.9999997326272121E-2</v>
      </c>
      <c r="C778">
        <f t="shared" si="126"/>
        <v>0.13000000267372788</v>
      </c>
      <c r="D778">
        <f t="shared" si="127"/>
        <v>8.0000000712994096E-2</v>
      </c>
      <c r="E778">
        <f t="shared" si="124"/>
        <v>7.9999998194621585E-2</v>
      </c>
      <c r="P778">
        <f t="shared" si="122"/>
        <v>0</v>
      </c>
      <c r="Q778">
        <f t="shared" si="123"/>
        <v>0</v>
      </c>
    </row>
    <row r="779" spans="1:17" x14ac:dyDescent="0.45">
      <c r="A779">
        <v>3.8599999999999501</v>
      </c>
      <c r="B779">
        <f t="shared" si="125"/>
        <v>2.9999997392286704E-2</v>
      </c>
      <c r="C779">
        <f t="shared" si="126"/>
        <v>0.1300000026077133</v>
      </c>
      <c r="D779">
        <f t="shared" si="127"/>
        <v>8.0000000695390219E-2</v>
      </c>
      <c r="E779">
        <f t="shared" si="124"/>
        <v>7.9999998211075854E-2</v>
      </c>
      <c r="P779">
        <f t="shared" ref="P779:P842" si="128">IF(EMT_simulation,N775,N779)</f>
        <v>0</v>
      </c>
      <c r="Q779">
        <f t="shared" ref="Q779:Q842" si="129">IF(EMT_simulation,O775,O779)</f>
        <v>0</v>
      </c>
    </row>
    <row r="780" spans="1:17" x14ac:dyDescent="0.45">
      <c r="A780">
        <v>3.86499999999995</v>
      </c>
      <c r="B780">
        <f t="shared" si="125"/>
        <v>2.9999997456671368E-2</v>
      </c>
      <c r="C780">
        <f t="shared" si="126"/>
        <v>0.13000000254332864</v>
      </c>
      <c r="D780">
        <f t="shared" si="127"/>
        <v>8.0000000678220967E-2</v>
      </c>
      <c r="E780">
        <f t="shared" si="124"/>
        <v>7.999999822908907E-2</v>
      </c>
      <c r="P780">
        <f t="shared" si="128"/>
        <v>0</v>
      </c>
      <c r="Q780">
        <f t="shared" si="129"/>
        <v>0</v>
      </c>
    </row>
    <row r="781" spans="1:17" x14ac:dyDescent="0.45">
      <c r="A781">
        <v>3.8699999999999499</v>
      </c>
      <c r="B781">
        <f t="shared" si="125"/>
        <v>2.9999997519466373E-2</v>
      </c>
      <c r="C781">
        <f t="shared" si="126"/>
        <v>0.13000000248053362</v>
      </c>
      <c r="D781">
        <f t="shared" si="127"/>
        <v>8.000000066147564E-2</v>
      </c>
      <c r="E781">
        <f t="shared" si="124"/>
        <v>7.9999998248561396E-2</v>
      </c>
      <c r="P781">
        <f t="shared" si="128"/>
        <v>0</v>
      </c>
      <c r="Q781">
        <f t="shared" si="129"/>
        <v>0</v>
      </c>
    </row>
    <row r="782" spans="1:17" x14ac:dyDescent="0.45">
      <c r="A782">
        <v>3.8749999999999498</v>
      </c>
      <c r="B782">
        <f t="shared" si="125"/>
        <v>2.999999758071098E-2</v>
      </c>
      <c r="C782">
        <f t="shared" si="126"/>
        <v>0.13000000241928902</v>
      </c>
      <c r="D782">
        <f t="shared" si="127"/>
        <v>8.0000000645143746E-2</v>
      </c>
      <c r="E782">
        <f t="shared" si="124"/>
        <v>7.9999998269395994E-2</v>
      </c>
      <c r="P782">
        <f t="shared" si="128"/>
        <v>0</v>
      </c>
      <c r="Q782">
        <f t="shared" si="129"/>
        <v>0</v>
      </c>
    </row>
    <row r="783" spans="1:17" x14ac:dyDescent="0.45">
      <c r="A783">
        <v>3.8799999999999502</v>
      </c>
      <c r="B783">
        <f t="shared" si="125"/>
        <v>2.9999997640443435E-2</v>
      </c>
      <c r="C783">
        <f t="shared" si="126"/>
        <v>0.13000000235955655</v>
      </c>
      <c r="D783">
        <f t="shared" si="127"/>
        <v>8.0000000629215084E-2</v>
      </c>
      <c r="E783">
        <f t="shared" si="124"/>
        <v>7.9999998291498897E-2</v>
      </c>
      <c r="P783">
        <f t="shared" si="128"/>
        <v>0</v>
      </c>
      <c r="Q783">
        <f t="shared" si="129"/>
        <v>0</v>
      </c>
    </row>
    <row r="784" spans="1:17" x14ac:dyDescent="0.45">
      <c r="A784">
        <v>3.88499999999995</v>
      </c>
      <c r="B784">
        <f t="shared" si="125"/>
        <v>2.9999997698701097E-2</v>
      </c>
      <c r="C784">
        <f t="shared" si="126"/>
        <v>0.13000000230129891</v>
      </c>
      <c r="D784">
        <f t="shared" si="127"/>
        <v>8.0000000613679706E-2</v>
      </c>
      <c r="E784">
        <f t="shared" si="124"/>
        <v>7.9999998314779081E-2</v>
      </c>
      <c r="P784">
        <f t="shared" si="128"/>
        <v>0</v>
      </c>
      <c r="Q784">
        <f t="shared" si="129"/>
        <v>0</v>
      </c>
    </row>
    <row r="785" spans="1:17" x14ac:dyDescent="0.45">
      <c r="A785">
        <v>3.8899999999999499</v>
      </c>
      <c r="B785">
        <f t="shared" si="125"/>
        <v>2.9999997755520369E-2</v>
      </c>
      <c r="C785">
        <f t="shared" si="126"/>
        <v>0.13000000224447963</v>
      </c>
      <c r="D785">
        <f t="shared" si="127"/>
        <v>8.0000000598527909E-2</v>
      </c>
      <c r="E785">
        <f t="shared" si="124"/>
        <v>7.999999833914842E-2</v>
      </c>
      <c r="P785">
        <f t="shared" si="128"/>
        <v>0</v>
      </c>
      <c r="Q785">
        <f t="shared" si="129"/>
        <v>0</v>
      </c>
    </row>
    <row r="786" spans="1:17" x14ac:dyDescent="0.45">
      <c r="A786">
        <v>3.8949999999999401</v>
      </c>
      <c r="B786">
        <f t="shared" si="125"/>
        <v>2.9999997810936763E-2</v>
      </c>
      <c r="C786">
        <f t="shared" si="126"/>
        <v>0.13000000218906324</v>
      </c>
      <c r="D786">
        <f t="shared" si="127"/>
        <v>8.0000000583750203E-2</v>
      </c>
      <c r="E786">
        <f t="shared" si="124"/>
        <v>7.9999998364521596E-2</v>
      </c>
      <c r="P786">
        <f t="shared" si="128"/>
        <v>0</v>
      </c>
      <c r="Q786">
        <f t="shared" si="129"/>
        <v>0</v>
      </c>
    </row>
    <row r="787" spans="1:17" x14ac:dyDescent="0.45">
      <c r="A787">
        <v>3.89999999999994</v>
      </c>
      <c r="B787">
        <f t="shared" si="125"/>
        <v>2.9999997864984931E-2</v>
      </c>
      <c r="C787">
        <f t="shared" si="126"/>
        <v>0.13000000213501506</v>
      </c>
      <c r="D787">
        <f t="shared" si="127"/>
        <v>8.0000000569337357E-2</v>
      </c>
      <c r="E787">
        <f t="shared" si="124"/>
        <v>7.9999998390816174E-2</v>
      </c>
      <c r="P787">
        <f t="shared" si="128"/>
        <v>0</v>
      </c>
      <c r="Q787">
        <f t="shared" si="129"/>
        <v>0</v>
      </c>
    </row>
    <row r="788" spans="1:17" x14ac:dyDescent="0.45">
      <c r="A788">
        <v>3.9049999999999399</v>
      </c>
      <c r="B788">
        <f t="shared" si="125"/>
        <v>2.999999791769864E-2</v>
      </c>
      <c r="C788">
        <f t="shared" si="126"/>
        <v>0.13000000208230136</v>
      </c>
      <c r="D788">
        <f t="shared" si="127"/>
        <v>8.0000000555280365E-2</v>
      </c>
      <c r="E788">
        <f t="shared" si="124"/>
        <v>7.9999998417952509E-2</v>
      </c>
      <c r="P788">
        <f t="shared" si="128"/>
        <v>0</v>
      </c>
      <c r="Q788">
        <f t="shared" si="129"/>
        <v>0</v>
      </c>
    </row>
    <row r="789" spans="1:17" x14ac:dyDescent="0.45">
      <c r="A789">
        <v>3.9099999999999402</v>
      </c>
      <c r="B789">
        <f t="shared" si="125"/>
        <v>2.9999997969110848E-2</v>
      </c>
      <c r="C789">
        <f t="shared" si="126"/>
        <v>0.13000000203088916</v>
      </c>
      <c r="D789">
        <f t="shared" si="127"/>
        <v>8.0000000541570443E-2</v>
      </c>
      <c r="E789">
        <f t="shared" si="124"/>
        <v>7.9999998445853718E-2</v>
      </c>
      <c r="P789">
        <f t="shared" si="128"/>
        <v>0</v>
      </c>
      <c r="Q789">
        <f t="shared" si="129"/>
        <v>0</v>
      </c>
    </row>
    <row r="790" spans="1:17" x14ac:dyDescent="0.45">
      <c r="A790">
        <v>3.9149999999999401</v>
      </c>
      <c r="B790">
        <f t="shared" si="125"/>
        <v>2.9999998019253668E-2</v>
      </c>
      <c r="C790">
        <f t="shared" si="126"/>
        <v>0.13000000198074635</v>
      </c>
      <c r="D790">
        <f t="shared" si="127"/>
        <v>8.0000000528199028E-2</v>
      </c>
      <c r="E790">
        <f t="shared" si="124"/>
        <v>7.999999847444568E-2</v>
      </c>
      <c r="P790">
        <f t="shared" si="128"/>
        <v>0</v>
      </c>
      <c r="Q790">
        <f t="shared" si="129"/>
        <v>0</v>
      </c>
    </row>
    <row r="791" spans="1:17" x14ac:dyDescent="0.45">
      <c r="A791">
        <v>3.91999999999994</v>
      </c>
      <c r="B791">
        <f t="shared" si="125"/>
        <v>2.9999998068158479E-2</v>
      </c>
      <c r="C791">
        <f t="shared" si="126"/>
        <v>0.13000000193184152</v>
      </c>
      <c r="D791">
        <f t="shared" si="127"/>
        <v>8.0000000515157738E-2</v>
      </c>
      <c r="E791">
        <f t="shared" si="124"/>
        <v>7.9999998503656952E-2</v>
      </c>
      <c r="P791">
        <f t="shared" si="128"/>
        <v>0</v>
      </c>
      <c r="Q791">
        <f t="shared" si="129"/>
        <v>0</v>
      </c>
    </row>
    <row r="792" spans="1:17" x14ac:dyDescent="0.45">
      <c r="A792">
        <v>3.9249999999999399</v>
      </c>
      <c r="B792">
        <f t="shared" si="125"/>
        <v>2.9999998115855811E-2</v>
      </c>
      <c r="C792">
        <f t="shared" si="126"/>
        <v>0.13000000188414418</v>
      </c>
      <c r="D792">
        <f t="shared" si="127"/>
        <v>8.0000000502438454E-2</v>
      </c>
      <c r="E792">
        <f t="shared" si="124"/>
        <v>7.9999998533418784E-2</v>
      </c>
      <c r="P792">
        <f t="shared" si="128"/>
        <v>0</v>
      </c>
      <c r="Q792">
        <f t="shared" si="129"/>
        <v>0</v>
      </c>
    </row>
    <row r="793" spans="1:17" x14ac:dyDescent="0.45">
      <c r="A793">
        <v>3.9299999999999402</v>
      </c>
      <c r="B793">
        <f t="shared" si="125"/>
        <v>2.9999998162375502E-2</v>
      </c>
      <c r="C793">
        <f t="shared" si="126"/>
        <v>0.1300000018376245</v>
      </c>
      <c r="D793">
        <f t="shared" si="127"/>
        <v>8.0000000490033196E-2</v>
      </c>
      <c r="E793">
        <f t="shared" si="124"/>
        <v>7.999999856366502E-2</v>
      </c>
      <c r="P793">
        <f t="shared" si="128"/>
        <v>0</v>
      </c>
      <c r="Q793">
        <f t="shared" si="129"/>
        <v>0</v>
      </c>
    </row>
    <row r="794" spans="1:17" x14ac:dyDescent="0.45">
      <c r="A794">
        <v>3.9349999999999401</v>
      </c>
      <c r="B794">
        <f t="shared" si="125"/>
        <v>2.9999998207746612E-2</v>
      </c>
      <c r="C794">
        <f t="shared" si="126"/>
        <v>0.13000000179225341</v>
      </c>
      <c r="D794">
        <f t="shared" si="127"/>
        <v>8.0000000477934236E-2</v>
      </c>
      <c r="E794">
        <f t="shared" si="124"/>
        <v>7.9999998594332128E-2</v>
      </c>
      <c r="P794">
        <f t="shared" si="128"/>
        <v>0</v>
      </c>
      <c r="Q794">
        <f t="shared" si="129"/>
        <v>0</v>
      </c>
    </row>
    <row r="795" spans="1:17" x14ac:dyDescent="0.45">
      <c r="A795">
        <v>3.93999999999994</v>
      </c>
      <c r="B795">
        <f t="shared" si="125"/>
        <v>2.9999998251997506E-2</v>
      </c>
      <c r="C795">
        <f t="shared" si="126"/>
        <v>0.1300000017480025</v>
      </c>
      <c r="D795">
        <f t="shared" si="127"/>
        <v>8.0000000466133994E-2</v>
      </c>
      <c r="E795">
        <f t="shared" si="124"/>
        <v>7.9999998625359101E-2</v>
      </c>
      <c r="P795">
        <f t="shared" si="128"/>
        <v>0</v>
      </c>
      <c r="Q795">
        <f t="shared" si="129"/>
        <v>0</v>
      </c>
    </row>
    <row r="796" spans="1:17" x14ac:dyDescent="0.45">
      <c r="A796">
        <v>3.9449999999999399</v>
      </c>
      <c r="B796">
        <f t="shared" si="125"/>
        <v>2.999999829515583E-2</v>
      </c>
      <c r="C796">
        <f t="shared" si="126"/>
        <v>0.13000000170484416</v>
      </c>
      <c r="D796">
        <f t="shared" si="127"/>
        <v>8.0000000454625117E-2</v>
      </c>
      <c r="E796">
        <f t="shared" si="124"/>
        <v>7.9999998656687415E-2</v>
      </c>
      <c r="P796">
        <f t="shared" si="128"/>
        <v>0</v>
      </c>
      <c r="Q796">
        <f t="shared" si="129"/>
        <v>0</v>
      </c>
    </row>
    <row r="797" spans="1:17" x14ac:dyDescent="0.45">
      <c r="A797">
        <v>3.9499999999999398</v>
      </c>
      <c r="B797">
        <f t="shared" si="125"/>
        <v>2.999999833724859E-2</v>
      </c>
      <c r="C797">
        <f t="shared" si="126"/>
        <v>0.13000000166275141</v>
      </c>
      <c r="D797">
        <f t="shared" si="127"/>
        <v>8.0000000443400374E-2</v>
      </c>
      <c r="E797">
        <f t="shared" si="124"/>
        <v>7.999999868826102E-2</v>
      </c>
      <c r="P797">
        <f t="shared" si="128"/>
        <v>0</v>
      </c>
      <c r="Q797">
        <f t="shared" si="129"/>
        <v>0</v>
      </c>
    </row>
    <row r="798" spans="1:17" x14ac:dyDescent="0.45">
      <c r="A798">
        <v>3.9549999999999401</v>
      </c>
      <c r="B798">
        <f t="shared" si="125"/>
        <v>2.999999837830207E-2</v>
      </c>
      <c r="C798">
        <f t="shared" si="126"/>
        <v>0.13000000162169795</v>
      </c>
      <c r="D798">
        <f t="shared" si="127"/>
        <v>8.0000000432452784E-2</v>
      </c>
      <c r="E798">
        <f t="shared" si="124"/>
        <v>7.9999998720026305E-2</v>
      </c>
      <c r="P798">
        <f t="shared" si="128"/>
        <v>0</v>
      </c>
      <c r="Q798">
        <f t="shared" si="129"/>
        <v>0</v>
      </c>
    </row>
    <row r="799" spans="1:17" x14ac:dyDescent="0.45">
      <c r="A799">
        <v>3.95999999999994</v>
      </c>
      <c r="B799">
        <f t="shared" si="125"/>
        <v>2.999999841834193E-2</v>
      </c>
      <c r="C799">
        <f t="shared" si="126"/>
        <v>0.13000000158165809</v>
      </c>
      <c r="D799">
        <f t="shared" si="127"/>
        <v>8.0000000421775491E-2</v>
      </c>
      <c r="E799">
        <f t="shared" si="124"/>
        <v>7.999999875193195E-2</v>
      </c>
      <c r="P799">
        <f t="shared" si="128"/>
        <v>0</v>
      </c>
      <c r="Q799">
        <f t="shared" si="129"/>
        <v>0</v>
      </c>
    </row>
    <row r="800" spans="1:17" x14ac:dyDescent="0.45">
      <c r="A800">
        <v>3.9649999999999399</v>
      </c>
      <c r="B800">
        <f t="shared" si="125"/>
        <v>2.9999998457393207E-2</v>
      </c>
      <c r="C800">
        <f t="shared" si="126"/>
        <v>0.1300000015426068</v>
      </c>
      <c r="D800">
        <f t="shared" si="127"/>
        <v>8.0000000411361807E-2</v>
      </c>
      <c r="E800">
        <f t="shared" si="124"/>
        <v>7.9999998783929022E-2</v>
      </c>
      <c r="P800">
        <f t="shared" si="128"/>
        <v>0</v>
      </c>
      <c r="Q800">
        <f t="shared" si="129"/>
        <v>0</v>
      </c>
    </row>
    <row r="801" spans="1:17" x14ac:dyDescent="0.45">
      <c r="A801">
        <v>3.9699999999999398</v>
      </c>
      <c r="B801">
        <f t="shared" si="125"/>
        <v>2.999999849548031E-2</v>
      </c>
      <c r="C801">
        <f t="shared" si="126"/>
        <v>0.13000000150451968</v>
      </c>
      <c r="D801">
        <f t="shared" si="127"/>
        <v>8.0000000401205251E-2</v>
      </c>
      <c r="E801">
        <f t="shared" si="124"/>
        <v>7.9999998815970821E-2</v>
      </c>
      <c r="P801">
        <f t="shared" si="128"/>
        <v>0</v>
      </c>
      <c r="Q801">
        <f t="shared" si="129"/>
        <v>0</v>
      </c>
    </row>
    <row r="802" spans="1:17" x14ac:dyDescent="0.45">
      <c r="A802">
        <v>3.9749999999999401</v>
      </c>
      <c r="B802">
        <f t="shared" si="125"/>
        <v>2.9999998532627026E-2</v>
      </c>
      <c r="C802">
        <f t="shared" si="126"/>
        <v>0.13000000146737298</v>
      </c>
      <c r="D802">
        <f t="shared" si="127"/>
        <v>8.0000000391299467E-2</v>
      </c>
      <c r="E802">
        <f t="shared" si="124"/>
        <v>7.9999998848012857E-2</v>
      </c>
      <c r="P802">
        <f t="shared" si="128"/>
        <v>0</v>
      </c>
      <c r="Q802">
        <f t="shared" si="129"/>
        <v>0</v>
      </c>
    </row>
    <row r="803" spans="1:17" x14ac:dyDescent="0.45">
      <c r="A803">
        <v>3.97999999999994</v>
      </c>
      <c r="B803">
        <f t="shared" si="125"/>
        <v>2.9999998568856601E-2</v>
      </c>
      <c r="C803">
        <f t="shared" si="126"/>
        <v>0.1300000014311434</v>
      </c>
      <c r="D803">
        <f t="shared" si="127"/>
        <v>8.0000000381638237E-2</v>
      </c>
      <c r="E803">
        <f t="shared" si="124"/>
        <v>7.9999998880012829E-2</v>
      </c>
      <c r="P803">
        <f t="shared" si="128"/>
        <v>0</v>
      </c>
      <c r="Q803">
        <f t="shared" si="129"/>
        <v>0</v>
      </c>
    </row>
    <row r="804" spans="1:17" x14ac:dyDescent="0.45">
      <c r="A804">
        <v>3.9849999999999399</v>
      </c>
      <c r="B804">
        <f t="shared" si="125"/>
        <v>2.9999998604191655E-2</v>
      </c>
      <c r="C804">
        <f t="shared" si="126"/>
        <v>0.13000000139580836</v>
      </c>
      <c r="D804">
        <f t="shared" si="127"/>
        <v>8.0000000372215566E-2</v>
      </c>
      <c r="E804">
        <f t="shared" si="124"/>
        <v>7.9999998911930562E-2</v>
      </c>
      <c r="P804">
        <f t="shared" si="128"/>
        <v>0</v>
      </c>
      <c r="Q804">
        <f t="shared" si="129"/>
        <v>0</v>
      </c>
    </row>
    <row r="805" spans="1:17" x14ac:dyDescent="0.45">
      <c r="A805">
        <v>3.9899999999999398</v>
      </c>
      <c r="B805">
        <f t="shared" si="125"/>
        <v>2.9999998638654282E-2</v>
      </c>
      <c r="C805">
        <f t="shared" si="126"/>
        <v>0.13000000136134571</v>
      </c>
      <c r="D805">
        <f t="shared" si="127"/>
        <v>8.0000000363025528E-2</v>
      </c>
      <c r="E805">
        <f t="shared" si="124"/>
        <v>7.9999998943727918E-2</v>
      </c>
      <c r="P805">
        <f t="shared" si="128"/>
        <v>0</v>
      </c>
      <c r="Q805">
        <f t="shared" si="129"/>
        <v>0</v>
      </c>
    </row>
    <row r="806" spans="1:17" x14ac:dyDescent="0.45">
      <c r="A806">
        <v>3.9949999999999402</v>
      </c>
      <c r="B806">
        <f t="shared" si="125"/>
        <v>2.9999998672266034E-2</v>
      </c>
      <c r="C806">
        <f t="shared" si="126"/>
        <v>0.13000000132773398</v>
      </c>
      <c r="D806">
        <f t="shared" si="127"/>
        <v>8.0000000354062392E-2</v>
      </c>
      <c r="E806">
        <f t="shared" si="124"/>
        <v>7.9999998975368788E-2</v>
      </c>
      <c r="P806">
        <f t="shared" si="128"/>
        <v>0</v>
      </c>
      <c r="Q806">
        <f t="shared" si="129"/>
        <v>0</v>
      </c>
    </row>
    <row r="807" spans="1:17" x14ac:dyDescent="0.45">
      <c r="A807">
        <v>3.99999999999994</v>
      </c>
      <c r="B807">
        <f t="shared" si="125"/>
        <v>2.9999998705047895E-2</v>
      </c>
      <c r="C807">
        <f t="shared" si="126"/>
        <v>0.13000000129495209</v>
      </c>
      <c r="D807">
        <f t="shared" si="127"/>
        <v>8.0000000345320565E-2</v>
      </c>
      <c r="E807">
        <f t="shared" si="124"/>
        <v>7.9999999006819061E-2</v>
      </c>
      <c r="P807">
        <f t="shared" si="128"/>
        <v>0</v>
      </c>
      <c r="Q807">
        <f t="shared" si="129"/>
        <v>0</v>
      </c>
    </row>
    <row r="808" spans="1:17" x14ac:dyDescent="0.45">
      <c r="A808">
        <v>4.0049999999999404</v>
      </c>
      <c r="B808">
        <f t="shared" si="125"/>
        <v>2.9999998737020375E-2</v>
      </c>
      <c r="C808">
        <f t="shared" si="126"/>
        <v>0.13000000126297961</v>
      </c>
      <c r="D808">
        <f t="shared" si="127"/>
        <v>8.0000000336794566E-2</v>
      </c>
      <c r="E808">
        <f t="shared" si="124"/>
        <v>7.9999999038046499E-2</v>
      </c>
      <c r="P808">
        <f t="shared" si="128"/>
        <v>0</v>
      </c>
      <c r="Q808">
        <f t="shared" si="129"/>
        <v>0</v>
      </c>
    </row>
    <row r="809" spans="1:17" x14ac:dyDescent="0.45">
      <c r="A809">
        <v>4.0099999999999403</v>
      </c>
      <c r="B809">
        <f t="shared" si="125"/>
        <v>2.9999998768203459E-2</v>
      </c>
      <c r="C809">
        <f t="shared" si="126"/>
        <v>0.13000000123179656</v>
      </c>
      <c r="D809">
        <f t="shared" si="127"/>
        <v>8.0000000328479079E-2</v>
      </c>
      <c r="E809">
        <f t="shared" si="124"/>
        <v>7.9999999069020764E-2</v>
      </c>
      <c r="P809">
        <f t="shared" si="128"/>
        <v>0</v>
      </c>
      <c r="Q809">
        <f t="shared" si="129"/>
        <v>0</v>
      </c>
    </row>
    <row r="810" spans="1:17" x14ac:dyDescent="0.45">
      <c r="A810">
        <v>4.0149999999999402</v>
      </c>
      <c r="B810">
        <f t="shared" si="125"/>
        <v>2.9999998798616617E-2</v>
      </c>
      <c r="C810">
        <f t="shared" si="126"/>
        <v>0.13000000120138339</v>
      </c>
      <c r="D810">
        <f t="shared" si="127"/>
        <v>8.00000003203689E-2</v>
      </c>
      <c r="E810">
        <f t="shared" si="124"/>
        <v>7.9999999099713295E-2</v>
      </c>
      <c r="P810">
        <f t="shared" si="128"/>
        <v>0</v>
      </c>
      <c r="Q810">
        <f t="shared" si="129"/>
        <v>0</v>
      </c>
    </row>
    <row r="811" spans="1:17" x14ac:dyDescent="0.45">
      <c r="A811">
        <v>4.0199999999999401</v>
      </c>
      <c r="B811">
        <f t="shared" si="125"/>
        <v>2.999999882827889E-2</v>
      </c>
      <c r="C811">
        <f t="shared" si="126"/>
        <v>0.13000000117172111</v>
      </c>
      <c r="D811">
        <f t="shared" si="127"/>
        <v>8.0000000312458963E-2</v>
      </c>
      <c r="E811">
        <f t="shared" si="124"/>
        <v>7.9999999130097338E-2</v>
      </c>
      <c r="P811">
        <f t="shared" si="128"/>
        <v>0</v>
      </c>
      <c r="Q811">
        <f t="shared" si="129"/>
        <v>0</v>
      </c>
    </row>
    <row r="812" spans="1:17" x14ac:dyDescent="0.45">
      <c r="A812">
        <v>4.02499999999994</v>
      </c>
      <c r="B812">
        <f t="shared" si="125"/>
        <v>2.9999998857208776E-2</v>
      </c>
      <c r="C812">
        <f t="shared" si="126"/>
        <v>0.13000000114279123</v>
      </c>
      <c r="D812">
        <f t="shared" si="127"/>
        <v>8.0000000304744329E-2</v>
      </c>
      <c r="E812">
        <f t="shared" si="124"/>
        <v>7.9999999160147814E-2</v>
      </c>
      <c r="P812">
        <f t="shared" si="128"/>
        <v>0</v>
      </c>
      <c r="Q812">
        <f t="shared" si="129"/>
        <v>0</v>
      </c>
    </row>
    <row r="813" spans="1:17" x14ac:dyDescent="0.45">
      <c r="A813">
        <v>4.0299999999999399</v>
      </c>
      <c r="B813">
        <f t="shared" si="125"/>
        <v>2.99999988854244E-2</v>
      </c>
      <c r="C813">
        <f t="shared" si="126"/>
        <v>0.1300000011145756</v>
      </c>
      <c r="D813">
        <f t="shared" si="127"/>
        <v>8.0000000297220167E-2</v>
      </c>
      <c r="E813">
        <f t="shared" si="124"/>
        <v>7.9999999189841339E-2</v>
      </c>
      <c r="P813">
        <f t="shared" si="128"/>
        <v>0</v>
      </c>
      <c r="Q813">
        <f t="shared" si="129"/>
        <v>0</v>
      </c>
    </row>
    <row r="814" spans="1:17" x14ac:dyDescent="0.45">
      <c r="A814">
        <v>4.0349999999999397</v>
      </c>
      <c r="B814">
        <f t="shared" si="125"/>
        <v>2.9999998912943374E-2</v>
      </c>
      <c r="C814">
        <f t="shared" si="126"/>
        <v>0.13000000108705662</v>
      </c>
      <c r="D814">
        <f t="shared" si="127"/>
        <v>8.0000000289881773E-2</v>
      </c>
      <c r="E814">
        <f t="shared" si="124"/>
        <v>7.9999999219156126E-2</v>
      </c>
      <c r="P814">
        <f t="shared" si="128"/>
        <v>0</v>
      </c>
      <c r="Q814">
        <f t="shared" si="129"/>
        <v>0</v>
      </c>
    </row>
    <row r="815" spans="1:17" x14ac:dyDescent="0.45">
      <c r="A815">
        <v>4.0399999999999396</v>
      </c>
      <c r="B815">
        <f t="shared" si="125"/>
        <v>2.999999893978289E-2</v>
      </c>
      <c r="C815">
        <f t="shared" si="126"/>
        <v>0.13000000106021711</v>
      </c>
      <c r="D815">
        <f t="shared" si="127"/>
        <v>8.0000000282724568E-2</v>
      </c>
      <c r="E815">
        <f t="shared" si="124"/>
        <v>7.999999924807194E-2</v>
      </c>
      <c r="P815">
        <f t="shared" si="128"/>
        <v>0</v>
      </c>
      <c r="Q815">
        <f t="shared" si="129"/>
        <v>0</v>
      </c>
    </row>
    <row r="816" spans="1:17" x14ac:dyDescent="0.45">
      <c r="A816">
        <v>4.0449999999999404</v>
      </c>
      <c r="B816">
        <f t="shared" si="125"/>
        <v>2.9999998965959743E-2</v>
      </c>
      <c r="C816">
        <f t="shared" si="126"/>
        <v>0.13000000103404025</v>
      </c>
      <c r="D816">
        <f t="shared" si="127"/>
        <v>8.0000000275744068E-2</v>
      </c>
      <c r="E816">
        <f t="shared" si="124"/>
        <v>7.9999999276570061E-2</v>
      </c>
      <c r="P816">
        <f t="shared" si="128"/>
        <v>0</v>
      </c>
      <c r="Q816">
        <f t="shared" si="129"/>
        <v>0</v>
      </c>
    </row>
    <row r="817" spans="1:17" x14ac:dyDescent="0.45">
      <c r="A817">
        <v>4.0499999999999403</v>
      </c>
      <c r="B817">
        <f t="shared" si="125"/>
        <v>2.9999998991490293E-2</v>
      </c>
      <c r="C817">
        <f t="shared" si="126"/>
        <v>0.13000000100850972</v>
      </c>
      <c r="D817">
        <f t="shared" si="127"/>
        <v>8.0000000268935931E-2</v>
      </c>
      <c r="E817">
        <f t="shared" si="124"/>
        <v>7.9999999304633265E-2</v>
      </c>
      <c r="P817">
        <f t="shared" si="128"/>
        <v>0</v>
      </c>
      <c r="Q817">
        <f t="shared" si="129"/>
        <v>0</v>
      </c>
    </row>
    <row r="818" spans="1:17" x14ac:dyDescent="0.45">
      <c r="A818">
        <v>4.0549999999999402</v>
      </c>
      <c r="B818">
        <f t="shared" si="125"/>
        <v>2.9999999016390486E-2</v>
      </c>
      <c r="C818">
        <f t="shared" si="126"/>
        <v>0.13000000098360953</v>
      </c>
      <c r="D818">
        <f t="shared" si="127"/>
        <v>8.0000000262295867E-2</v>
      </c>
      <c r="E818">
        <f t="shared" si="124"/>
        <v>7.9999999332245705E-2</v>
      </c>
      <c r="P818">
        <f t="shared" si="128"/>
        <v>0</v>
      </c>
      <c r="Q818">
        <f t="shared" si="129"/>
        <v>0</v>
      </c>
    </row>
    <row r="819" spans="1:17" x14ac:dyDescent="0.45">
      <c r="A819">
        <v>4.0599999999999401</v>
      </c>
      <c r="B819">
        <f t="shared" si="125"/>
        <v>2.9999999040675893E-2</v>
      </c>
      <c r="C819">
        <f t="shared" si="126"/>
        <v>0.13000000095932412</v>
      </c>
      <c r="D819">
        <f t="shared" si="127"/>
        <v>8.000000025581977E-2</v>
      </c>
      <c r="E819">
        <f t="shared" si="124"/>
        <v>7.9999999359392934E-2</v>
      </c>
      <c r="P819">
        <f t="shared" si="128"/>
        <v>0</v>
      </c>
      <c r="Q819">
        <f t="shared" si="129"/>
        <v>0</v>
      </c>
    </row>
    <row r="820" spans="1:17" x14ac:dyDescent="0.45">
      <c r="A820">
        <v>4.06499999999994</v>
      </c>
      <c r="B820">
        <f t="shared" si="125"/>
        <v>2.9999999064361682E-2</v>
      </c>
      <c r="C820">
        <f t="shared" si="126"/>
        <v>0.13000000093563832</v>
      </c>
      <c r="D820">
        <f t="shared" si="127"/>
        <v>8.0000000249503558E-2</v>
      </c>
      <c r="E820">
        <f t="shared" si="124"/>
        <v>7.9999999386061768E-2</v>
      </c>
      <c r="P820">
        <f t="shared" si="128"/>
        <v>0</v>
      </c>
      <c r="Q820">
        <f t="shared" si="129"/>
        <v>0</v>
      </c>
    </row>
    <row r="821" spans="1:17" x14ac:dyDescent="0.45">
      <c r="A821">
        <v>4.0699999999999399</v>
      </c>
      <c r="B821">
        <f t="shared" si="125"/>
        <v>2.9999999087462675E-2</v>
      </c>
      <c r="C821">
        <f t="shared" si="126"/>
        <v>0.13000000091253733</v>
      </c>
      <c r="D821">
        <f t="shared" si="127"/>
        <v>8.0000000243343292E-2</v>
      </c>
      <c r="E821">
        <f t="shared" si="124"/>
        <v>7.9999999412240369E-2</v>
      </c>
      <c r="P821">
        <f t="shared" si="128"/>
        <v>0</v>
      </c>
      <c r="Q821">
        <f t="shared" si="129"/>
        <v>0</v>
      </c>
    </row>
    <row r="822" spans="1:17" x14ac:dyDescent="0.45">
      <c r="A822">
        <v>4.0749999999999398</v>
      </c>
      <c r="B822">
        <f t="shared" si="125"/>
        <v>2.9999999109993306E-2</v>
      </c>
      <c r="C822">
        <f t="shared" si="126"/>
        <v>0.13000000089000668</v>
      </c>
      <c r="D822">
        <f t="shared" si="127"/>
        <v>8.0000000237335125E-2</v>
      </c>
      <c r="E822">
        <f t="shared" si="124"/>
        <v>7.9999999437918079E-2</v>
      </c>
      <c r="P822">
        <f t="shared" si="128"/>
        <v>0</v>
      </c>
      <c r="Q822">
        <f t="shared" si="129"/>
        <v>0</v>
      </c>
    </row>
    <row r="823" spans="1:17" x14ac:dyDescent="0.45">
      <c r="A823">
        <v>4.0799999999999397</v>
      </c>
      <c r="B823">
        <f t="shared" si="125"/>
        <v>2.9999999131967645E-2</v>
      </c>
      <c r="C823">
        <f t="shared" si="126"/>
        <v>0.13000000086803237</v>
      </c>
      <c r="D823">
        <f t="shared" si="127"/>
        <v>8.0000000231475299E-2</v>
      </c>
      <c r="E823">
        <f t="shared" si="124"/>
        <v>7.9999999463085433E-2</v>
      </c>
      <c r="P823">
        <f t="shared" si="128"/>
        <v>0</v>
      </c>
      <c r="Q823">
        <f t="shared" si="129"/>
        <v>0</v>
      </c>
    </row>
    <row r="824" spans="1:17" x14ac:dyDescent="0.45">
      <c r="A824">
        <v>4.0849999999999396</v>
      </c>
      <c r="B824">
        <f t="shared" si="125"/>
        <v>2.9999999153399445E-2</v>
      </c>
      <c r="C824">
        <f t="shared" si="126"/>
        <v>0.13000000084660057</v>
      </c>
      <c r="D824">
        <f t="shared" si="127"/>
        <v>8.0000000225760148E-2</v>
      </c>
      <c r="E824">
        <f t="shared" si="124"/>
        <v>7.9999999487734105E-2</v>
      </c>
      <c r="P824">
        <f t="shared" si="128"/>
        <v>0</v>
      </c>
      <c r="Q824">
        <f t="shared" si="129"/>
        <v>0</v>
      </c>
    </row>
    <row r="825" spans="1:17" x14ac:dyDescent="0.45">
      <c r="A825">
        <v>4.0899999999999403</v>
      </c>
      <c r="B825">
        <f t="shared" si="125"/>
        <v>2.9999999174302086E-2</v>
      </c>
      <c r="C825">
        <f t="shared" si="126"/>
        <v>0.1300000008256979</v>
      </c>
      <c r="D825">
        <f t="shared" si="127"/>
        <v>8.0000000220186107E-2</v>
      </c>
      <c r="E825">
        <f t="shared" si="124"/>
        <v>7.9999999511856837E-2</v>
      </c>
      <c r="P825">
        <f t="shared" si="128"/>
        <v>0</v>
      </c>
      <c r="Q825">
        <f t="shared" si="129"/>
        <v>0</v>
      </c>
    </row>
    <row r="826" spans="1:17" x14ac:dyDescent="0.45">
      <c r="A826">
        <v>4.0949999999999402</v>
      </c>
      <c r="B826">
        <f t="shared" si="125"/>
        <v>2.999999919468864E-2</v>
      </c>
      <c r="C826">
        <f t="shared" si="126"/>
        <v>0.13000000080531138</v>
      </c>
      <c r="D826">
        <f t="shared" si="127"/>
        <v>8.0000000214749692E-2</v>
      </c>
      <c r="E826">
        <f t="shared" si="124"/>
        <v>7.9999999535447452E-2</v>
      </c>
      <c r="P826">
        <f t="shared" si="128"/>
        <v>0</v>
      </c>
      <c r="Q826">
        <f t="shared" si="129"/>
        <v>0</v>
      </c>
    </row>
    <row r="827" spans="1:17" x14ac:dyDescent="0.45">
      <c r="A827">
        <v>4.0999999999999401</v>
      </c>
      <c r="B827">
        <f t="shared" si="125"/>
        <v>2.9999999214571846E-2</v>
      </c>
      <c r="C827">
        <f t="shared" si="126"/>
        <v>0.13000000078542817</v>
      </c>
      <c r="D827">
        <f t="shared" si="127"/>
        <v>8.0000000209447503E-2</v>
      </c>
      <c r="E827">
        <f t="shared" si="124"/>
        <v>7.9999999558500762E-2</v>
      </c>
      <c r="P827">
        <f t="shared" si="128"/>
        <v>0</v>
      </c>
      <c r="Q827">
        <f t="shared" si="129"/>
        <v>0</v>
      </c>
    </row>
    <row r="828" spans="1:17" x14ac:dyDescent="0.45">
      <c r="A828">
        <v>4.10499999999994</v>
      </c>
      <c r="B828">
        <f t="shared" si="125"/>
        <v>2.9999999233964139E-2</v>
      </c>
      <c r="C828">
        <f t="shared" si="126"/>
        <v>0.13000000076603585</v>
      </c>
      <c r="D828">
        <f t="shared" si="127"/>
        <v>8.0000000204276236E-2</v>
      </c>
      <c r="E828">
        <f t="shared" si="124"/>
        <v>7.9999999581012532E-2</v>
      </c>
      <c r="P828">
        <f t="shared" si="128"/>
        <v>0</v>
      </c>
      <c r="Q828">
        <f t="shared" si="129"/>
        <v>0</v>
      </c>
    </row>
    <row r="829" spans="1:17" x14ac:dyDescent="0.45">
      <c r="A829">
        <v>4.1099999999999399</v>
      </c>
      <c r="B829">
        <f t="shared" si="125"/>
        <v>2.9999999252877635E-2</v>
      </c>
      <c r="C829">
        <f t="shared" si="126"/>
        <v>0.13000000074712237</v>
      </c>
      <c r="D829">
        <f t="shared" si="127"/>
        <v>8.0000000199232632E-2</v>
      </c>
      <c r="E829">
        <f t="shared" si="124"/>
        <v>7.999999960297946E-2</v>
      </c>
      <c r="P829">
        <f t="shared" si="128"/>
        <v>0</v>
      </c>
      <c r="Q829">
        <f t="shared" si="129"/>
        <v>0</v>
      </c>
    </row>
    <row r="830" spans="1:17" x14ac:dyDescent="0.45">
      <c r="A830">
        <v>4.1149999999999398</v>
      </c>
      <c r="B830">
        <f t="shared" si="125"/>
        <v>2.9999999271324143E-2</v>
      </c>
      <c r="C830">
        <f t="shared" si="126"/>
        <v>0.13000000072867585</v>
      </c>
      <c r="D830">
        <f t="shared" si="127"/>
        <v>8.0000000194313567E-2</v>
      </c>
      <c r="E830">
        <f t="shared" si="124"/>
        <v>7.9999999624399132E-2</v>
      </c>
      <c r="P830">
        <f t="shared" si="128"/>
        <v>0</v>
      </c>
      <c r="Q830">
        <f t="shared" si="129"/>
        <v>0</v>
      </c>
    </row>
    <row r="831" spans="1:17" x14ac:dyDescent="0.45">
      <c r="A831">
        <v>4.1199999999999397</v>
      </c>
      <c r="B831">
        <f t="shared" si="125"/>
        <v>2.9999999289315224E-2</v>
      </c>
      <c r="C831">
        <f t="shared" si="126"/>
        <v>0.13000000071068479</v>
      </c>
      <c r="D831">
        <f t="shared" si="127"/>
        <v>8.0000000189515946E-2</v>
      </c>
      <c r="E831">
        <f t="shared" si="124"/>
        <v>7.9999999645269951E-2</v>
      </c>
      <c r="P831">
        <f t="shared" si="128"/>
        <v>0</v>
      </c>
      <c r="Q831">
        <f t="shared" si="129"/>
        <v>0</v>
      </c>
    </row>
    <row r="832" spans="1:17" x14ac:dyDescent="0.45">
      <c r="A832">
        <v>4.1249999999999396</v>
      </c>
      <c r="B832">
        <f t="shared" si="125"/>
        <v>2.9999999306862091E-2</v>
      </c>
      <c r="C832">
        <f t="shared" si="126"/>
        <v>0.13000000069313791</v>
      </c>
      <c r="D832">
        <f t="shared" si="127"/>
        <v>8.0000000184836773E-2</v>
      </c>
      <c r="E832">
        <f t="shared" si="124"/>
        <v>7.999999966559114E-2</v>
      </c>
      <c r="P832">
        <f t="shared" si="128"/>
        <v>0</v>
      </c>
      <c r="Q832">
        <f t="shared" si="129"/>
        <v>0</v>
      </c>
    </row>
    <row r="833" spans="1:17" x14ac:dyDescent="0.45">
      <c r="A833">
        <v>4.1299999999999404</v>
      </c>
      <c r="B833">
        <f t="shared" si="125"/>
        <v>2.9999999323975721E-2</v>
      </c>
      <c r="C833">
        <f t="shared" si="126"/>
        <v>0.1300000006760243</v>
      </c>
      <c r="D833">
        <f t="shared" si="127"/>
        <v>8.0000000180273145E-2</v>
      </c>
      <c r="E833">
        <f t="shared" si="124"/>
        <v>7.9999999685362672E-2</v>
      </c>
      <c r="P833">
        <f t="shared" si="128"/>
        <v>0</v>
      </c>
      <c r="Q833">
        <f t="shared" si="129"/>
        <v>0</v>
      </c>
    </row>
    <row r="834" spans="1:17" x14ac:dyDescent="0.45">
      <c r="A834">
        <v>4.1349999999999403</v>
      </c>
      <c r="B834">
        <f t="shared" si="125"/>
        <v>2.9999999340666827E-2</v>
      </c>
      <c r="C834">
        <f t="shared" si="126"/>
        <v>0.13000000065933318</v>
      </c>
      <c r="D834">
        <f t="shared" si="127"/>
        <v>8.0000000175822178E-2</v>
      </c>
      <c r="E834">
        <f t="shared" si="124"/>
        <v>7.9999999704585267E-2</v>
      </c>
      <c r="P834">
        <f t="shared" si="128"/>
        <v>0</v>
      </c>
      <c r="Q834">
        <f t="shared" si="129"/>
        <v>0</v>
      </c>
    </row>
    <row r="835" spans="1:17" x14ac:dyDescent="0.45">
      <c r="A835">
        <v>4.1399999999999402</v>
      </c>
      <c r="B835">
        <f t="shared" si="125"/>
        <v>2.999999935694582E-2</v>
      </c>
      <c r="C835">
        <f t="shared" si="126"/>
        <v>0.13000000064305417</v>
      </c>
      <c r="D835">
        <f t="shared" si="127"/>
        <v>8.0000000171481123E-2</v>
      </c>
      <c r="E835">
        <f t="shared" si="124"/>
        <v>7.9999999723260315E-2</v>
      </c>
      <c r="P835">
        <f t="shared" si="128"/>
        <v>0</v>
      </c>
      <c r="Q835">
        <f t="shared" si="129"/>
        <v>0</v>
      </c>
    </row>
    <row r="836" spans="1:17" x14ac:dyDescent="0.45">
      <c r="A836">
        <v>4.1449999999999401</v>
      </c>
      <c r="B836">
        <f t="shared" si="125"/>
        <v>2.9999999372822883E-2</v>
      </c>
      <c r="C836">
        <f t="shared" si="126"/>
        <v>0.13000000062717712</v>
      </c>
      <c r="D836">
        <f t="shared" si="127"/>
        <v>8.0000000167247232E-2</v>
      </c>
      <c r="E836">
        <f t="shared" si="124"/>
        <v>7.9999999741389882E-2</v>
      </c>
      <c r="P836">
        <f t="shared" si="128"/>
        <v>0</v>
      </c>
      <c r="Q836">
        <f t="shared" si="129"/>
        <v>0</v>
      </c>
    </row>
    <row r="837" spans="1:17" x14ac:dyDescent="0.45">
      <c r="A837">
        <v>4.14999999999994</v>
      </c>
      <c r="B837">
        <f t="shared" si="125"/>
        <v>2.9999999388307941E-2</v>
      </c>
      <c r="C837">
        <f t="shared" si="126"/>
        <v>0.13000000061169206</v>
      </c>
      <c r="D837">
        <f t="shared" si="127"/>
        <v>8.0000000163117882E-2</v>
      </c>
      <c r="E837">
        <f t="shared" si="124"/>
        <v>7.999999975897662E-2</v>
      </c>
      <c r="P837">
        <f t="shared" si="128"/>
        <v>0</v>
      </c>
      <c r="Q837">
        <f t="shared" si="129"/>
        <v>0</v>
      </c>
    </row>
    <row r="838" spans="1:17" x14ac:dyDescent="0.45">
      <c r="A838">
        <v>4.1549999999999399</v>
      </c>
      <c r="B838">
        <f t="shared" si="125"/>
        <v>2.9999999403410665E-2</v>
      </c>
      <c r="C838">
        <f t="shared" si="126"/>
        <v>0.13000000059658934</v>
      </c>
      <c r="D838">
        <f t="shared" si="127"/>
        <v>8.0000000159090492E-2</v>
      </c>
      <c r="E838">
        <f t="shared" si="124"/>
        <v>7.9999999776023803E-2</v>
      </c>
      <c r="P838">
        <f t="shared" si="128"/>
        <v>0</v>
      </c>
      <c r="Q838">
        <f t="shared" si="129"/>
        <v>0</v>
      </c>
    </row>
    <row r="839" spans="1:17" x14ac:dyDescent="0.45">
      <c r="A839">
        <v>4.1599999999999397</v>
      </c>
      <c r="B839">
        <f t="shared" si="125"/>
        <v>2.9999999418140508E-2</v>
      </c>
      <c r="C839">
        <f t="shared" si="126"/>
        <v>0.13000000058185951</v>
      </c>
      <c r="D839">
        <f t="shared" si="127"/>
        <v>8.0000000155162537E-2</v>
      </c>
      <c r="E839">
        <f t="shared" ref="E839:E902" si="130">P0-SIGN(DeltaThetaDeg)*EXP(-Xi*Wn*A839)*(COS(Wd*A839)-(Xi*Wn-1)/(Wd)*SIN(Wd*A839))*Ppeak</f>
        <v>7.9999999792535234E-2</v>
      </c>
      <c r="P839">
        <f t="shared" si="128"/>
        <v>0</v>
      </c>
      <c r="Q839">
        <f t="shared" si="129"/>
        <v>0</v>
      </c>
    </row>
    <row r="840" spans="1:17" x14ac:dyDescent="0.45">
      <c r="A840">
        <v>4.1649999999999396</v>
      </c>
      <c r="B840">
        <f t="shared" si="125"/>
        <v>2.9999999432506669E-2</v>
      </c>
      <c r="C840">
        <f t="shared" si="126"/>
        <v>0.13000000056749333</v>
      </c>
      <c r="D840">
        <f t="shared" si="127"/>
        <v>8.000000015133156E-2</v>
      </c>
      <c r="E840">
        <f t="shared" si="130"/>
        <v>7.9999999808515257E-2</v>
      </c>
      <c r="P840">
        <f t="shared" si="128"/>
        <v>0</v>
      </c>
      <c r="Q840">
        <f t="shared" si="129"/>
        <v>0</v>
      </c>
    </row>
    <row r="841" spans="1:17" x14ac:dyDescent="0.45">
      <c r="A841">
        <v>4.1699999999999404</v>
      </c>
      <c r="B841">
        <f t="shared" ref="B841:B904" si="131">P0-Ppeak*(1+Marge_haute)*EXP(-Sigma*A839)-Tunnel</f>
        <v>2.9999999446518141E-2</v>
      </c>
      <c r="C841">
        <f t="shared" ref="C841:C904" si="132">P0+Ppeak*(1+Marge_haute)*EXP(-Sigma*A839)+Tunnel</f>
        <v>0.13000000055348188</v>
      </c>
      <c r="D841">
        <f t="shared" ref="D841:D904" si="133">P0-SIGN(DeltaThetaDeg)*Marge_basse*Ppeak*EXP(-Sigma*A839)</f>
        <v>8.000000014759516E-2</v>
      </c>
      <c r="E841">
        <f t="shared" si="130"/>
        <v>7.9999999823968687E-2</v>
      </c>
      <c r="P841">
        <f t="shared" si="128"/>
        <v>0</v>
      </c>
      <c r="Q841">
        <f t="shared" si="129"/>
        <v>0</v>
      </c>
    </row>
    <row r="842" spans="1:17" x14ac:dyDescent="0.45">
      <c r="A842">
        <v>4.1749999999999403</v>
      </c>
      <c r="B842">
        <f t="shared" si="131"/>
        <v>2.9999999460183654E-2</v>
      </c>
      <c r="C842">
        <f t="shared" si="132"/>
        <v>0.13000000053981636</v>
      </c>
      <c r="D842">
        <f t="shared" si="133"/>
        <v>8.0000000143951033E-2</v>
      </c>
      <c r="E842">
        <f t="shared" si="130"/>
        <v>7.9999999838900812E-2</v>
      </c>
      <c r="P842">
        <f t="shared" si="128"/>
        <v>0</v>
      </c>
      <c r="Q842">
        <f t="shared" si="129"/>
        <v>0</v>
      </c>
    </row>
    <row r="843" spans="1:17" x14ac:dyDescent="0.45">
      <c r="A843">
        <v>4.1799999999999402</v>
      </c>
      <c r="B843">
        <f t="shared" si="131"/>
        <v>2.9999999473511771E-2</v>
      </c>
      <c r="C843">
        <f t="shared" si="132"/>
        <v>0.13000000052648825</v>
      </c>
      <c r="D843">
        <f t="shared" si="133"/>
        <v>8.0000000140396862E-2</v>
      </c>
      <c r="E843">
        <f t="shared" si="130"/>
        <v>7.9999999853317336E-2</v>
      </c>
      <c r="P843">
        <f t="shared" ref="P843:P906" si="134">IF(EMT_simulation,N839,N843)</f>
        <v>0</v>
      </c>
      <c r="Q843">
        <f t="shared" ref="Q843:Q906" si="135">IF(EMT_simulation,O839,O843)</f>
        <v>0</v>
      </c>
    </row>
    <row r="844" spans="1:17" x14ac:dyDescent="0.45">
      <c r="A844">
        <v>4.1849999999999401</v>
      </c>
      <c r="B844">
        <f t="shared" si="131"/>
        <v>2.9999999486510803E-2</v>
      </c>
      <c r="C844">
        <f t="shared" si="132"/>
        <v>0.1300000005134892</v>
      </c>
      <c r="D844">
        <f t="shared" si="133"/>
        <v>8.0000000136930455E-2</v>
      </c>
      <c r="E844">
        <f t="shared" si="130"/>
        <v>7.9999999867224392E-2</v>
      </c>
      <c r="P844">
        <f t="shared" si="134"/>
        <v>0</v>
      </c>
      <c r="Q844">
        <f t="shared" si="135"/>
        <v>0</v>
      </c>
    </row>
    <row r="845" spans="1:17" x14ac:dyDescent="0.45">
      <c r="A845">
        <v>4.18999999999994</v>
      </c>
      <c r="B845">
        <f t="shared" si="131"/>
        <v>2.9999999499188898E-2</v>
      </c>
      <c r="C845">
        <f t="shared" si="132"/>
        <v>0.13000000050081112</v>
      </c>
      <c r="D845">
        <f t="shared" si="133"/>
        <v>8.0000000133549631E-2</v>
      </c>
      <c r="E845">
        <f t="shared" si="130"/>
        <v>7.9999999880628447E-2</v>
      </c>
      <c r="P845">
        <f t="shared" si="134"/>
        <v>0</v>
      </c>
      <c r="Q845">
        <f t="shared" si="135"/>
        <v>0</v>
      </c>
    </row>
    <row r="846" spans="1:17" x14ac:dyDescent="0.45">
      <c r="A846">
        <v>4.1949999999999399</v>
      </c>
      <c r="B846">
        <f t="shared" si="131"/>
        <v>2.9999999511553965E-2</v>
      </c>
      <c r="C846">
        <f t="shared" si="132"/>
        <v>0.13000000048844604</v>
      </c>
      <c r="D846">
        <f t="shared" si="133"/>
        <v>8.0000000130252283E-2</v>
      </c>
      <c r="E846">
        <f t="shared" si="130"/>
        <v>7.9999999893536358E-2</v>
      </c>
      <c r="P846">
        <f t="shared" si="134"/>
        <v>0</v>
      </c>
      <c r="Q846">
        <f t="shared" si="135"/>
        <v>0</v>
      </c>
    </row>
    <row r="847" spans="1:17" x14ac:dyDescent="0.45">
      <c r="A847">
        <v>4.1999999999999398</v>
      </c>
      <c r="B847">
        <f t="shared" si="131"/>
        <v>2.9999999523613749E-2</v>
      </c>
      <c r="C847">
        <f t="shared" si="132"/>
        <v>0.13000000047638627</v>
      </c>
      <c r="D847">
        <f t="shared" si="133"/>
        <v>8.0000000127036341E-2</v>
      </c>
      <c r="E847">
        <f t="shared" si="130"/>
        <v>7.9999999905955271E-2</v>
      </c>
      <c r="P847">
        <f t="shared" si="134"/>
        <v>0</v>
      </c>
      <c r="Q847">
        <f t="shared" si="135"/>
        <v>0</v>
      </c>
    </row>
    <row r="848" spans="1:17" x14ac:dyDescent="0.45">
      <c r="A848">
        <v>4.2049999999999397</v>
      </c>
      <c r="B848">
        <f t="shared" si="131"/>
        <v>2.9999999535375757E-2</v>
      </c>
      <c r="C848">
        <f t="shared" si="132"/>
        <v>0.13000000046462423</v>
      </c>
      <c r="D848">
        <f t="shared" si="133"/>
        <v>8.0000000123899795E-2</v>
      </c>
      <c r="E848">
        <f t="shared" si="130"/>
        <v>7.9999999917892653E-2</v>
      </c>
      <c r="P848">
        <f t="shared" si="134"/>
        <v>0</v>
      </c>
      <c r="Q848">
        <f t="shared" si="135"/>
        <v>0</v>
      </c>
    </row>
    <row r="849" spans="1:17" x14ac:dyDescent="0.45">
      <c r="A849">
        <v>4.2099999999999396</v>
      </c>
      <c r="B849">
        <f t="shared" si="131"/>
        <v>2.9999999546847372E-2</v>
      </c>
      <c r="C849">
        <f t="shared" si="132"/>
        <v>0.13000000045315263</v>
      </c>
      <c r="D849">
        <f t="shared" si="133"/>
        <v>8.00000001208407E-2</v>
      </c>
      <c r="E849">
        <f t="shared" si="130"/>
        <v>7.9999999929356233E-2</v>
      </c>
      <c r="P849">
        <f t="shared" si="134"/>
        <v>0</v>
      </c>
      <c r="Q849">
        <f t="shared" si="135"/>
        <v>0</v>
      </c>
    </row>
    <row r="850" spans="1:17" x14ac:dyDescent="0.45">
      <c r="A850">
        <v>4.2149999999999403</v>
      </c>
      <c r="B850">
        <f t="shared" si="131"/>
        <v>2.9999999558035756E-2</v>
      </c>
      <c r="C850">
        <f t="shared" si="132"/>
        <v>0.13000000044196425</v>
      </c>
      <c r="D850">
        <f t="shared" si="133"/>
        <v>8.0000000117857129E-2</v>
      </c>
      <c r="E850">
        <f t="shared" si="130"/>
        <v>7.9999999940353964E-2</v>
      </c>
      <c r="P850">
        <f t="shared" si="134"/>
        <v>0</v>
      </c>
      <c r="Q850">
        <f t="shared" si="135"/>
        <v>0</v>
      </c>
    </row>
    <row r="851" spans="1:17" x14ac:dyDescent="0.45">
      <c r="A851">
        <v>4.2199999999999402</v>
      </c>
      <c r="B851">
        <f t="shared" si="131"/>
        <v>2.9999999568947888E-2</v>
      </c>
      <c r="C851">
        <f t="shared" si="132"/>
        <v>0.13000000043105212</v>
      </c>
      <c r="D851">
        <f t="shared" si="133"/>
        <v>8.0000000114947234E-2</v>
      </c>
      <c r="E851">
        <f t="shared" si="130"/>
        <v>7.9999999950894074E-2</v>
      </c>
      <c r="P851">
        <f t="shared" si="134"/>
        <v>0</v>
      </c>
      <c r="Q851">
        <f t="shared" si="135"/>
        <v>0</v>
      </c>
    </row>
    <row r="852" spans="1:17" x14ac:dyDescent="0.45">
      <c r="A852">
        <v>4.2249999999999401</v>
      </c>
      <c r="B852">
        <f t="shared" si="131"/>
        <v>2.9999999579590611E-2</v>
      </c>
      <c r="C852">
        <f t="shared" si="132"/>
        <v>0.13000000042040938</v>
      </c>
      <c r="D852">
        <f t="shared" si="133"/>
        <v>8.0000000112109171E-2</v>
      </c>
      <c r="E852">
        <f t="shared" si="130"/>
        <v>7.9999999960984947E-2</v>
      </c>
      <c r="P852">
        <f t="shared" si="134"/>
        <v>0</v>
      </c>
      <c r="Q852">
        <f t="shared" si="135"/>
        <v>0</v>
      </c>
    </row>
    <row r="853" spans="1:17" x14ac:dyDescent="0.45">
      <c r="A853">
        <v>4.22999999999994</v>
      </c>
      <c r="B853">
        <f t="shared" si="131"/>
        <v>2.9999999589970544E-2</v>
      </c>
      <c r="C853">
        <f t="shared" si="132"/>
        <v>0.13000000041002946</v>
      </c>
      <c r="D853">
        <f t="shared" si="133"/>
        <v>8.0000000109341191E-2</v>
      </c>
      <c r="E853">
        <f t="shared" si="130"/>
        <v>7.9999999970635186E-2</v>
      </c>
      <c r="P853">
        <f t="shared" si="134"/>
        <v>0</v>
      </c>
      <c r="Q853">
        <f t="shared" si="135"/>
        <v>0</v>
      </c>
    </row>
    <row r="854" spans="1:17" x14ac:dyDescent="0.45">
      <c r="A854">
        <v>4.2349999999999399</v>
      </c>
      <c r="B854">
        <f t="shared" si="131"/>
        <v>2.999999960009421E-2</v>
      </c>
      <c r="C854">
        <f t="shared" si="132"/>
        <v>0.13000000039990578</v>
      </c>
      <c r="D854">
        <f t="shared" si="133"/>
        <v>8.0000000106641544E-2</v>
      </c>
      <c r="E854">
        <f t="shared" si="130"/>
        <v>7.9999999979853548E-2</v>
      </c>
      <c r="P854">
        <f t="shared" si="134"/>
        <v>0</v>
      </c>
      <c r="Q854">
        <f t="shared" si="135"/>
        <v>0</v>
      </c>
    </row>
    <row r="855" spans="1:17" x14ac:dyDescent="0.45">
      <c r="A855">
        <v>4.2399999999999398</v>
      </c>
      <c r="B855">
        <f t="shared" si="131"/>
        <v>2.9999999609967923E-2</v>
      </c>
      <c r="C855">
        <f t="shared" si="132"/>
        <v>0.13000000039003207</v>
      </c>
      <c r="D855">
        <f t="shared" si="133"/>
        <v>8.0000000104008553E-2</v>
      </c>
      <c r="E855">
        <f t="shared" si="130"/>
        <v>7.9999999988648915E-2</v>
      </c>
      <c r="P855">
        <f t="shared" si="134"/>
        <v>0</v>
      </c>
      <c r="Q855">
        <f t="shared" si="135"/>
        <v>0</v>
      </c>
    </row>
    <row r="856" spans="1:17" x14ac:dyDescent="0.45">
      <c r="A856">
        <v>4.2449999999999397</v>
      </c>
      <c r="B856">
        <f t="shared" si="131"/>
        <v>2.9999999619597845E-2</v>
      </c>
      <c r="C856">
        <f t="shared" si="132"/>
        <v>0.13000000038040216</v>
      </c>
      <c r="D856">
        <f t="shared" si="133"/>
        <v>8.000000010144058E-2</v>
      </c>
      <c r="E856">
        <f t="shared" si="130"/>
        <v>7.9999999997030308E-2</v>
      </c>
      <c r="P856">
        <f t="shared" si="134"/>
        <v>0</v>
      </c>
      <c r="Q856">
        <f t="shared" si="135"/>
        <v>0</v>
      </c>
    </row>
    <row r="857" spans="1:17" x14ac:dyDescent="0.45">
      <c r="A857">
        <v>4.2499999999999396</v>
      </c>
      <c r="B857">
        <f t="shared" si="131"/>
        <v>2.9999999628990012E-2</v>
      </c>
      <c r="C857">
        <f t="shared" si="132"/>
        <v>0.13000000037101</v>
      </c>
      <c r="D857">
        <f t="shared" si="133"/>
        <v>8.0000000098936E-2</v>
      </c>
      <c r="E857">
        <f t="shared" si="130"/>
        <v>8.0000000005006858E-2</v>
      </c>
      <c r="P857">
        <f t="shared" si="134"/>
        <v>0</v>
      </c>
      <c r="Q857">
        <f t="shared" si="135"/>
        <v>0</v>
      </c>
    </row>
    <row r="858" spans="1:17" x14ac:dyDescent="0.45">
      <c r="A858">
        <v>4.2549999999999404</v>
      </c>
      <c r="B858">
        <f t="shared" si="131"/>
        <v>2.9999999638150282E-2</v>
      </c>
      <c r="C858">
        <f t="shared" si="132"/>
        <v>0.13000000036184972</v>
      </c>
      <c r="D858">
        <f t="shared" si="133"/>
        <v>8.0000000096493259E-2</v>
      </c>
      <c r="E858">
        <f t="shared" si="130"/>
        <v>8.000000001258778E-2</v>
      </c>
      <c r="P858">
        <f t="shared" si="134"/>
        <v>0</v>
      </c>
      <c r="Q858">
        <f t="shared" si="135"/>
        <v>0</v>
      </c>
    </row>
    <row r="859" spans="1:17" x14ac:dyDescent="0.45">
      <c r="A859">
        <v>4.2599999999999403</v>
      </c>
      <c r="B859">
        <f t="shared" si="131"/>
        <v>2.9999999647084385E-2</v>
      </c>
      <c r="C859">
        <f t="shared" si="132"/>
        <v>0.13000000035291562</v>
      </c>
      <c r="D859">
        <f t="shared" si="133"/>
        <v>8.0000000094110832E-2</v>
      </c>
      <c r="E859">
        <f t="shared" si="130"/>
        <v>8.0000000019782358E-2</v>
      </c>
      <c r="P859">
        <f t="shared" si="134"/>
        <v>0</v>
      </c>
      <c r="Q859">
        <f t="shared" si="135"/>
        <v>0</v>
      </c>
    </row>
    <row r="860" spans="1:17" x14ac:dyDescent="0.45">
      <c r="A860">
        <v>4.2649999999999402</v>
      </c>
      <c r="B860">
        <f t="shared" si="131"/>
        <v>2.9999999655797902E-2</v>
      </c>
      <c r="C860">
        <f t="shared" si="132"/>
        <v>0.13000000034420212</v>
      </c>
      <c r="D860">
        <f t="shared" si="133"/>
        <v>8.0000000091787232E-2</v>
      </c>
      <c r="E860">
        <f t="shared" si="130"/>
        <v>8.0000000026599932E-2</v>
      </c>
      <c r="P860">
        <f t="shared" si="134"/>
        <v>0</v>
      </c>
      <c r="Q860">
        <f t="shared" si="135"/>
        <v>0</v>
      </c>
    </row>
    <row r="861" spans="1:17" x14ac:dyDescent="0.45">
      <c r="A861">
        <v>4.2699999999999401</v>
      </c>
      <c r="B861">
        <f t="shared" si="131"/>
        <v>2.9999999664296284E-2</v>
      </c>
      <c r="C861">
        <f t="shared" si="132"/>
        <v>0.13000000033570372</v>
      </c>
      <c r="D861">
        <f t="shared" si="133"/>
        <v>8.000000008952099E-2</v>
      </c>
      <c r="E861">
        <f t="shared" si="130"/>
        <v>8.0000000033049898E-2</v>
      </c>
      <c r="P861">
        <f t="shared" si="134"/>
        <v>0</v>
      </c>
      <c r="Q861">
        <f t="shared" si="135"/>
        <v>0</v>
      </c>
    </row>
    <row r="862" spans="1:17" x14ac:dyDescent="0.45">
      <c r="A862">
        <v>4.27499999999994</v>
      </c>
      <c r="B862">
        <f t="shared" si="131"/>
        <v>2.9999999672584834E-2</v>
      </c>
      <c r="C862">
        <f t="shared" si="132"/>
        <v>0.13000000032741515</v>
      </c>
      <c r="D862">
        <f t="shared" si="133"/>
        <v>8.0000000087310716E-2</v>
      </c>
      <c r="E862">
        <f t="shared" si="130"/>
        <v>8.0000000039141678E-2</v>
      </c>
      <c r="P862">
        <f t="shared" si="134"/>
        <v>0</v>
      </c>
      <c r="Q862">
        <f t="shared" si="135"/>
        <v>0</v>
      </c>
    </row>
    <row r="863" spans="1:17" x14ac:dyDescent="0.45">
      <c r="A863">
        <v>4.2799999999999399</v>
      </c>
      <c r="B863">
        <f t="shared" si="131"/>
        <v>2.9999999680668743E-2</v>
      </c>
      <c r="C863">
        <f t="shared" si="132"/>
        <v>0.13000000031933126</v>
      </c>
      <c r="D863">
        <f t="shared" si="133"/>
        <v>8.000000008515501E-2</v>
      </c>
      <c r="E863">
        <f t="shared" si="130"/>
        <v>8.0000000044884681E-2</v>
      </c>
      <c r="P863">
        <f t="shared" si="134"/>
        <v>0</v>
      </c>
      <c r="Q863">
        <f t="shared" si="135"/>
        <v>0</v>
      </c>
    </row>
    <row r="864" spans="1:17" x14ac:dyDescent="0.45">
      <c r="A864">
        <v>4.2849999999999397</v>
      </c>
      <c r="B864">
        <f t="shared" si="131"/>
        <v>2.9999999688553061E-2</v>
      </c>
      <c r="C864">
        <f t="shared" si="132"/>
        <v>0.13000000031144693</v>
      </c>
      <c r="D864">
        <f t="shared" si="133"/>
        <v>8.0000000083052525E-2</v>
      </c>
      <c r="E864">
        <f t="shared" si="130"/>
        <v>8.0000000050288358E-2</v>
      </c>
      <c r="P864">
        <f t="shared" si="134"/>
        <v>0</v>
      </c>
      <c r="Q864">
        <f t="shared" si="135"/>
        <v>0</v>
      </c>
    </row>
    <row r="865" spans="1:17" x14ac:dyDescent="0.45">
      <c r="A865">
        <v>4.2899999999999396</v>
      </c>
      <c r="B865">
        <f t="shared" si="131"/>
        <v>2.9999999696242716E-2</v>
      </c>
      <c r="C865">
        <f t="shared" si="132"/>
        <v>0.1300000003037573</v>
      </c>
      <c r="D865">
        <f t="shared" si="133"/>
        <v>8.0000000081001943E-2</v>
      </c>
      <c r="E865">
        <f t="shared" si="130"/>
        <v>8.0000000055362105E-2</v>
      </c>
      <c r="P865">
        <f t="shared" si="134"/>
        <v>0</v>
      </c>
      <c r="Q865">
        <f t="shared" si="135"/>
        <v>0</v>
      </c>
    </row>
    <row r="866" spans="1:17" x14ac:dyDescent="0.45">
      <c r="A866">
        <v>4.2949999999999404</v>
      </c>
      <c r="B866">
        <f t="shared" si="131"/>
        <v>2.9999999703742508E-2</v>
      </c>
      <c r="C866">
        <f t="shared" si="132"/>
        <v>0.1300000002962575</v>
      </c>
      <c r="D866">
        <f t="shared" si="133"/>
        <v>8.0000000079002001E-2</v>
      </c>
      <c r="E866">
        <f t="shared" si="130"/>
        <v>8.0000000060115317E-2</v>
      </c>
      <c r="P866">
        <f t="shared" si="134"/>
        <v>0</v>
      </c>
      <c r="Q866">
        <f t="shared" si="135"/>
        <v>0</v>
      </c>
    </row>
    <row r="867" spans="1:17" x14ac:dyDescent="0.45">
      <c r="A867">
        <v>4.2999999999999403</v>
      </c>
      <c r="B867">
        <f t="shared" si="131"/>
        <v>2.9999999711057129E-2</v>
      </c>
      <c r="C867">
        <f t="shared" si="132"/>
        <v>0.13000000028894287</v>
      </c>
      <c r="D867">
        <f t="shared" si="133"/>
        <v>8.0000000077051436E-2</v>
      </c>
      <c r="E867">
        <f t="shared" si="130"/>
        <v>8.0000000064557375E-2</v>
      </c>
      <c r="P867">
        <f t="shared" si="134"/>
        <v>0</v>
      </c>
      <c r="Q867">
        <f t="shared" si="135"/>
        <v>0</v>
      </c>
    </row>
    <row r="868" spans="1:17" x14ac:dyDescent="0.45">
      <c r="A868">
        <v>4.3049999999999402</v>
      </c>
      <c r="B868">
        <f t="shared" si="131"/>
        <v>2.9999999718191159E-2</v>
      </c>
      <c r="C868">
        <f t="shared" si="132"/>
        <v>0.13000000028180886</v>
      </c>
      <c r="D868">
        <f t="shared" si="133"/>
        <v>8.0000000075149028E-2</v>
      </c>
      <c r="E868">
        <f t="shared" si="130"/>
        <v>8.0000000068697563E-2</v>
      </c>
      <c r="P868">
        <f t="shared" si="134"/>
        <v>0</v>
      </c>
      <c r="Q868">
        <f t="shared" si="135"/>
        <v>0</v>
      </c>
    </row>
    <row r="869" spans="1:17" x14ac:dyDescent="0.45">
      <c r="A869">
        <v>4.3099999999999401</v>
      </c>
      <c r="B869">
        <f t="shared" si="131"/>
        <v>2.9999999725149037E-2</v>
      </c>
      <c r="C869">
        <f t="shared" si="132"/>
        <v>0.13000000027485098</v>
      </c>
      <c r="D869">
        <f t="shared" si="133"/>
        <v>8.0000000073293595E-2</v>
      </c>
      <c r="E869">
        <f t="shared" si="130"/>
        <v>8.0000000072545152E-2</v>
      </c>
      <c r="P869">
        <f t="shared" si="134"/>
        <v>0</v>
      </c>
      <c r="Q869">
        <f t="shared" si="135"/>
        <v>0</v>
      </c>
    </row>
    <row r="870" spans="1:17" x14ac:dyDescent="0.45">
      <c r="A870">
        <v>4.31499999999994</v>
      </c>
      <c r="B870">
        <f t="shared" si="131"/>
        <v>2.9999999731935137E-2</v>
      </c>
      <c r="C870">
        <f t="shared" si="132"/>
        <v>0.13000000026806485</v>
      </c>
      <c r="D870">
        <f t="shared" si="133"/>
        <v>8.0000000071483959E-2</v>
      </c>
      <c r="E870">
        <f t="shared" si="130"/>
        <v>8.0000000076109329E-2</v>
      </c>
      <c r="P870">
        <f t="shared" si="134"/>
        <v>0</v>
      </c>
      <c r="Q870">
        <f t="shared" si="135"/>
        <v>0</v>
      </c>
    </row>
    <row r="871" spans="1:17" x14ac:dyDescent="0.45">
      <c r="A871">
        <v>4.3199999999999399</v>
      </c>
      <c r="B871">
        <f t="shared" si="131"/>
        <v>2.9999999738553676E-2</v>
      </c>
      <c r="C871">
        <f t="shared" si="132"/>
        <v>0.13000000026144631</v>
      </c>
      <c r="D871">
        <f t="shared" si="133"/>
        <v>8.0000000069719024E-2</v>
      </c>
      <c r="E871">
        <f t="shared" si="130"/>
        <v>8.0000000079399211E-2</v>
      </c>
      <c r="P871">
        <f t="shared" si="134"/>
        <v>0</v>
      </c>
      <c r="Q871">
        <f t="shared" si="135"/>
        <v>0</v>
      </c>
    </row>
    <row r="872" spans="1:17" x14ac:dyDescent="0.45">
      <c r="A872">
        <v>4.3249999999999398</v>
      </c>
      <c r="B872">
        <f t="shared" si="131"/>
        <v>2.9999999745008818E-2</v>
      </c>
      <c r="C872">
        <f t="shared" si="132"/>
        <v>0.1300000002549912</v>
      </c>
      <c r="D872">
        <f t="shared" si="133"/>
        <v>8.0000000067997651E-2</v>
      </c>
      <c r="E872">
        <f t="shared" si="130"/>
        <v>8.0000000082423833E-2</v>
      </c>
      <c r="P872">
        <f t="shared" si="134"/>
        <v>0</v>
      </c>
      <c r="Q872">
        <f t="shared" si="135"/>
        <v>0</v>
      </c>
    </row>
    <row r="873" spans="1:17" x14ac:dyDescent="0.45">
      <c r="A873">
        <v>4.3299999999999397</v>
      </c>
      <c r="B873">
        <f t="shared" si="131"/>
        <v>2.999999975130456E-2</v>
      </c>
      <c r="C873">
        <f t="shared" si="132"/>
        <v>0.13000000024869546</v>
      </c>
      <c r="D873">
        <f t="shared" si="133"/>
        <v>8.0000000066318785E-2</v>
      </c>
      <c r="E873">
        <f t="shared" si="130"/>
        <v>8.0000000085192147E-2</v>
      </c>
      <c r="P873">
        <f t="shared" si="134"/>
        <v>0</v>
      </c>
      <c r="Q873">
        <f t="shared" si="135"/>
        <v>0</v>
      </c>
    </row>
    <row r="874" spans="1:17" x14ac:dyDescent="0.45">
      <c r="A874">
        <v>4.3349999999999396</v>
      </c>
      <c r="B874">
        <f t="shared" si="131"/>
        <v>2.9999999757444884E-2</v>
      </c>
      <c r="C874">
        <f t="shared" si="132"/>
        <v>0.13000000024255512</v>
      </c>
      <c r="D874">
        <f t="shared" si="133"/>
        <v>8.0000000064681373E-2</v>
      </c>
      <c r="E874">
        <f t="shared" si="130"/>
        <v>8.0000000087713005E-2</v>
      </c>
      <c r="P874">
        <f t="shared" si="134"/>
        <v>0</v>
      </c>
      <c r="Q874">
        <f t="shared" si="135"/>
        <v>0</v>
      </c>
    </row>
    <row r="875" spans="1:17" x14ac:dyDescent="0.45">
      <c r="A875">
        <v>4.3399999999999403</v>
      </c>
      <c r="B875">
        <f t="shared" si="131"/>
        <v>2.999999976343358E-2</v>
      </c>
      <c r="C875">
        <f t="shared" si="132"/>
        <v>0.13000000023656644</v>
      </c>
      <c r="D875">
        <f t="shared" si="133"/>
        <v>8.0000000063084373E-2</v>
      </c>
      <c r="E875">
        <f t="shared" si="130"/>
        <v>8.0000000089995124E-2</v>
      </c>
      <c r="P875">
        <f t="shared" si="134"/>
        <v>0</v>
      </c>
      <c r="Q875">
        <f t="shared" si="135"/>
        <v>0</v>
      </c>
    </row>
    <row r="876" spans="1:17" x14ac:dyDescent="0.45">
      <c r="A876">
        <v>4.3449999999999402</v>
      </c>
      <c r="B876">
        <f t="shared" si="131"/>
        <v>2.9999999769274435E-2</v>
      </c>
      <c r="C876">
        <f t="shared" si="132"/>
        <v>0.13000000023072555</v>
      </c>
      <c r="D876">
        <f t="shared" si="133"/>
        <v>8.0000000061526813E-2</v>
      </c>
      <c r="E876">
        <f t="shared" si="130"/>
        <v>8.0000000092047149E-2</v>
      </c>
      <c r="P876">
        <f t="shared" si="134"/>
        <v>0</v>
      </c>
      <c r="Q876">
        <f t="shared" si="135"/>
        <v>0</v>
      </c>
    </row>
    <row r="877" spans="1:17" x14ac:dyDescent="0.45">
      <c r="A877">
        <v>4.3499999999999401</v>
      </c>
      <c r="B877">
        <f t="shared" si="131"/>
        <v>2.9999999774971073E-2</v>
      </c>
      <c r="C877">
        <f t="shared" si="132"/>
        <v>0.13000000022502894</v>
      </c>
      <c r="D877">
        <f t="shared" si="133"/>
        <v>8.0000000060007723E-2</v>
      </c>
      <c r="E877">
        <f t="shared" si="130"/>
        <v>8.0000000093877588E-2</v>
      </c>
      <c r="P877">
        <f t="shared" si="134"/>
        <v>0</v>
      </c>
      <c r="Q877">
        <f t="shared" si="135"/>
        <v>0</v>
      </c>
    </row>
    <row r="878" spans="1:17" x14ac:dyDescent="0.45">
      <c r="A878">
        <v>4.35499999999994</v>
      </c>
      <c r="B878">
        <f t="shared" si="131"/>
        <v>2.9999999780527045E-2</v>
      </c>
      <c r="C878">
        <f t="shared" si="132"/>
        <v>0.13000000021947294</v>
      </c>
      <c r="D878">
        <f t="shared" si="133"/>
        <v>8.0000000058526116E-2</v>
      </c>
      <c r="E878">
        <f t="shared" si="130"/>
        <v>8.0000000095494836E-2</v>
      </c>
      <c r="P878">
        <f t="shared" si="134"/>
        <v>0</v>
      </c>
      <c r="Q878">
        <f t="shared" si="135"/>
        <v>0</v>
      </c>
    </row>
    <row r="879" spans="1:17" x14ac:dyDescent="0.45">
      <c r="A879">
        <v>4.3599999999999302</v>
      </c>
      <c r="B879">
        <f t="shared" si="131"/>
        <v>2.9999999785945863E-2</v>
      </c>
      <c r="C879">
        <f t="shared" si="132"/>
        <v>0.13000000021405414</v>
      </c>
      <c r="D879">
        <f t="shared" si="133"/>
        <v>8.0000000057081105E-2</v>
      </c>
      <c r="E879">
        <f t="shared" si="130"/>
        <v>8.0000000096907151E-2</v>
      </c>
      <c r="P879">
        <f t="shared" si="134"/>
        <v>0</v>
      </c>
      <c r="Q879">
        <f t="shared" si="135"/>
        <v>0</v>
      </c>
    </row>
    <row r="880" spans="1:17" x14ac:dyDescent="0.45">
      <c r="A880">
        <v>4.36499999999993</v>
      </c>
      <c r="B880">
        <f t="shared" si="131"/>
        <v>2.9999999791230872E-2</v>
      </c>
      <c r="C880">
        <f t="shared" si="132"/>
        <v>0.13000000020876912</v>
      </c>
      <c r="D880">
        <f t="shared" si="133"/>
        <v>8.0000000055671774E-2</v>
      </c>
      <c r="E880">
        <f t="shared" si="130"/>
        <v>8.0000000098122678E-2</v>
      </c>
      <c r="P880">
        <f t="shared" si="134"/>
        <v>0</v>
      </c>
      <c r="Q880">
        <f t="shared" si="135"/>
        <v>0</v>
      </c>
    </row>
    <row r="881" spans="1:17" x14ac:dyDescent="0.45">
      <c r="A881">
        <v>4.3699999999999299</v>
      </c>
      <c r="B881">
        <f t="shared" si="131"/>
        <v>2.9999999796385401E-2</v>
      </c>
      <c r="C881">
        <f t="shared" si="132"/>
        <v>0.1300000002036146</v>
      </c>
      <c r="D881">
        <f t="shared" si="133"/>
        <v>8.0000000054297221E-2</v>
      </c>
      <c r="E881">
        <f t="shared" si="130"/>
        <v>8.0000000099149385E-2</v>
      </c>
      <c r="P881">
        <f t="shared" si="134"/>
        <v>0</v>
      </c>
      <c r="Q881">
        <f t="shared" si="135"/>
        <v>0</v>
      </c>
    </row>
    <row r="882" spans="1:17" x14ac:dyDescent="0.45">
      <c r="A882">
        <v>4.3749999999999298</v>
      </c>
      <c r="B882">
        <f t="shared" si="131"/>
        <v>2.9999999801412658E-2</v>
      </c>
      <c r="C882">
        <f t="shared" si="132"/>
        <v>0.13000000019858735</v>
      </c>
      <c r="D882">
        <f t="shared" si="133"/>
        <v>8.0000000052956627E-2</v>
      </c>
      <c r="E882">
        <f t="shared" si="130"/>
        <v>8.0000000099995153E-2</v>
      </c>
      <c r="P882">
        <f t="shared" si="134"/>
        <v>0</v>
      </c>
      <c r="Q882">
        <f t="shared" si="135"/>
        <v>0</v>
      </c>
    </row>
    <row r="883" spans="1:17" x14ac:dyDescent="0.45">
      <c r="A883">
        <v>4.3799999999999297</v>
      </c>
      <c r="B883">
        <f t="shared" si="131"/>
        <v>2.9999999806315805E-2</v>
      </c>
      <c r="C883">
        <f t="shared" si="132"/>
        <v>0.13000000019368418</v>
      </c>
      <c r="D883">
        <f t="shared" si="133"/>
        <v>8.0000000051649117E-2</v>
      </c>
      <c r="E883">
        <f t="shared" si="130"/>
        <v>8.000000010066767E-2</v>
      </c>
      <c r="P883">
        <f t="shared" si="134"/>
        <v>0</v>
      </c>
      <c r="Q883">
        <f t="shared" si="135"/>
        <v>0</v>
      </c>
    </row>
    <row r="884" spans="1:17" x14ac:dyDescent="0.45">
      <c r="A884">
        <v>4.3849999999999296</v>
      </c>
      <c r="B884">
        <f t="shared" si="131"/>
        <v>2.9999999811097883E-2</v>
      </c>
      <c r="C884">
        <f t="shared" si="132"/>
        <v>0.13000000018890212</v>
      </c>
      <c r="D884">
        <f t="shared" si="133"/>
        <v>8.0000000050373901E-2</v>
      </c>
      <c r="E884">
        <f t="shared" si="130"/>
        <v>8.0000000101174515E-2</v>
      </c>
      <c r="P884">
        <f t="shared" si="134"/>
        <v>0</v>
      </c>
      <c r="Q884">
        <f t="shared" si="135"/>
        <v>0</v>
      </c>
    </row>
    <row r="885" spans="1:17" x14ac:dyDescent="0.45">
      <c r="A885">
        <v>4.3899999999999304</v>
      </c>
      <c r="B885">
        <f t="shared" si="131"/>
        <v>2.9999999815761888E-2</v>
      </c>
      <c r="C885">
        <f t="shared" si="132"/>
        <v>0.13000000018423813</v>
      </c>
      <c r="D885">
        <f t="shared" si="133"/>
        <v>8.000000004913016E-2</v>
      </c>
      <c r="E885">
        <f t="shared" si="130"/>
        <v>8.0000000101523069E-2</v>
      </c>
      <c r="P885">
        <f t="shared" si="134"/>
        <v>0</v>
      </c>
      <c r="Q885">
        <f t="shared" si="135"/>
        <v>0</v>
      </c>
    </row>
    <row r="886" spans="1:17" x14ac:dyDescent="0.45">
      <c r="A886">
        <v>4.3949999999999303</v>
      </c>
      <c r="B886">
        <f t="shared" si="131"/>
        <v>2.9999999820310749E-2</v>
      </c>
      <c r="C886">
        <f t="shared" si="132"/>
        <v>0.13000000017968927</v>
      </c>
      <c r="D886">
        <f t="shared" si="133"/>
        <v>8.000000004791713E-2</v>
      </c>
      <c r="E886">
        <f t="shared" si="130"/>
        <v>8.0000000101720634E-2</v>
      </c>
      <c r="P886">
        <f t="shared" si="134"/>
        <v>0</v>
      </c>
      <c r="Q886">
        <f t="shared" si="135"/>
        <v>0</v>
      </c>
    </row>
    <row r="887" spans="1:17" x14ac:dyDescent="0.45">
      <c r="A887">
        <v>4.3999999999999302</v>
      </c>
      <c r="B887">
        <f t="shared" si="131"/>
        <v>2.9999999824747284E-2</v>
      </c>
      <c r="C887">
        <f t="shared" si="132"/>
        <v>0.13000000017525271</v>
      </c>
      <c r="D887">
        <f t="shared" si="133"/>
        <v>8.0000000046734063E-2</v>
      </c>
      <c r="E887">
        <f t="shared" si="130"/>
        <v>8.0000000101774271E-2</v>
      </c>
      <c r="P887">
        <f t="shared" si="134"/>
        <v>0</v>
      </c>
      <c r="Q887">
        <f t="shared" si="135"/>
        <v>0</v>
      </c>
    </row>
    <row r="888" spans="1:17" x14ac:dyDescent="0.45">
      <c r="A888">
        <v>4.4049999999999301</v>
      </c>
      <c r="B888">
        <f t="shared" si="131"/>
        <v>2.9999999829074295E-2</v>
      </c>
      <c r="C888">
        <f t="shared" si="132"/>
        <v>0.13000000017092572</v>
      </c>
      <c r="D888">
        <f t="shared" si="133"/>
        <v>8.0000000045580194E-2</v>
      </c>
      <c r="E888">
        <f t="shared" si="130"/>
        <v>8.0000000101690963E-2</v>
      </c>
      <c r="P888">
        <f t="shared" si="134"/>
        <v>0</v>
      </c>
      <c r="Q888">
        <f t="shared" si="135"/>
        <v>0</v>
      </c>
    </row>
    <row r="889" spans="1:17" x14ac:dyDescent="0.45">
      <c r="A889">
        <v>4.40999999999993</v>
      </c>
      <c r="B889">
        <f t="shared" si="131"/>
        <v>2.9999999833294461E-2</v>
      </c>
      <c r="C889">
        <f t="shared" si="132"/>
        <v>0.13000000016670554</v>
      </c>
      <c r="D889">
        <f t="shared" si="133"/>
        <v>8.0000000044454816E-2</v>
      </c>
      <c r="E889">
        <f t="shared" si="130"/>
        <v>8.0000000101477467E-2</v>
      </c>
      <c r="P889">
        <f t="shared" si="134"/>
        <v>0</v>
      </c>
      <c r="Q889">
        <f t="shared" si="135"/>
        <v>0</v>
      </c>
    </row>
    <row r="890" spans="1:17" x14ac:dyDescent="0.45">
      <c r="A890">
        <v>4.4149999999999299</v>
      </c>
      <c r="B890">
        <f t="shared" si="131"/>
        <v>2.9999999837410446E-2</v>
      </c>
      <c r="C890">
        <f t="shared" si="132"/>
        <v>0.13000000016258956</v>
      </c>
      <c r="D890">
        <f t="shared" si="133"/>
        <v>8.0000000043357222E-2</v>
      </c>
      <c r="E890">
        <f t="shared" si="130"/>
        <v>8.0000000101140445E-2</v>
      </c>
      <c r="P890">
        <f t="shared" si="134"/>
        <v>0</v>
      </c>
      <c r="Q890">
        <f t="shared" si="135"/>
        <v>0</v>
      </c>
    </row>
    <row r="891" spans="1:17" x14ac:dyDescent="0.45">
      <c r="A891">
        <v>4.4199999999999298</v>
      </c>
      <c r="B891">
        <f t="shared" si="131"/>
        <v>2.999999984142479E-2</v>
      </c>
      <c r="C891">
        <f t="shared" si="132"/>
        <v>0.13000000015857521</v>
      </c>
      <c r="D891">
        <f t="shared" si="133"/>
        <v>8.0000000042286717E-2</v>
      </c>
      <c r="E891">
        <f t="shared" si="130"/>
        <v>8.000000010068635E-2</v>
      </c>
      <c r="P891">
        <f t="shared" si="134"/>
        <v>0</v>
      </c>
      <c r="Q891">
        <f t="shared" si="135"/>
        <v>0</v>
      </c>
    </row>
    <row r="892" spans="1:17" x14ac:dyDescent="0.45">
      <c r="A892">
        <v>4.4249999999999297</v>
      </c>
      <c r="B892">
        <f t="shared" si="131"/>
        <v>2.999999984534002E-2</v>
      </c>
      <c r="C892">
        <f t="shared" si="132"/>
        <v>0.13000000015465998</v>
      </c>
      <c r="D892">
        <f t="shared" si="133"/>
        <v>8.0000000041242664E-2</v>
      </c>
      <c r="E892">
        <f t="shared" si="130"/>
        <v>8.0000000100121496E-2</v>
      </c>
      <c r="P892">
        <f t="shared" si="134"/>
        <v>0</v>
      </c>
      <c r="Q892">
        <f t="shared" si="135"/>
        <v>0</v>
      </c>
    </row>
    <row r="893" spans="1:17" x14ac:dyDescent="0.45">
      <c r="A893">
        <v>4.4299999999999304</v>
      </c>
      <c r="B893">
        <f t="shared" si="131"/>
        <v>2.999999984915859E-2</v>
      </c>
      <c r="C893">
        <f t="shared" si="132"/>
        <v>0.1300000001508414</v>
      </c>
      <c r="D893">
        <f t="shared" si="133"/>
        <v>8.0000000040224381E-2</v>
      </c>
      <c r="E893">
        <f t="shared" si="130"/>
        <v>8.0000000099452018E-2</v>
      </c>
      <c r="P893">
        <f t="shared" si="134"/>
        <v>0</v>
      </c>
      <c r="Q893">
        <f t="shared" si="135"/>
        <v>0</v>
      </c>
    </row>
    <row r="894" spans="1:17" x14ac:dyDescent="0.45">
      <c r="A894">
        <v>4.4349999999999303</v>
      </c>
      <c r="B894">
        <f t="shared" si="131"/>
        <v>2.9999999852882875E-2</v>
      </c>
      <c r="C894">
        <f t="shared" si="132"/>
        <v>0.13000000014711713</v>
      </c>
      <c r="D894">
        <f t="shared" si="133"/>
        <v>8.0000000039231231E-2</v>
      </c>
      <c r="E894">
        <f t="shared" si="130"/>
        <v>8.0000000098683924E-2</v>
      </c>
      <c r="P894">
        <f t="shared" si="134"/>
        <v>0</v>
      </c>
      <c r="Q894">
        <f t="shared" si="135"/>
        <v>0</v>
      </c>
    </row>
    <row r="895" spans="1:17" x14ac:dyDescent="0.45">
      <c r="A895">
        <v>4.4399999999999302</v>
      </c>
      <c r="B895">
        <f t="shared" si="131"/>
        <v>2.9999999856515219E-2</v>
      </c>
      <c r="C895">
        <f t="shared" si="132"/>
        <v>0.13000000014348478</v>
      </c>
      <c r="D895">
        <f t="shared" si="133"/>
        <v>8.0000000038262617E-2</v>
      </c>
      <c r="E895">
        <f t="shared" si="130"/>
        <v>8.0000000097823015E-2</v>
      </c>
      <c r="P895">
        <f t="shared" si="134"/>
        <v>0</v>
      </c>
      <c r="Q895">
        <f t="shared" si="135"/>
        <v>0</v>
      </c>
    </row>
    <row r="896" spans="1:17" x14ac:dyDescent="0.45">
      <c r="A896">
        <v>4.4449999999999301</v>
      </c>
      <c r="B896">
        <f t="shared" si="131"/>
        <v>2.9999999860057872E-2</v>
      </c>
      <c r="C896">
        <f t="shared" si="132"/>
        <v>0.13000000013994212</v>
      </c>
      <c r="D896">
        <f t="shared" si="133"/>
        <v>8.00000000373179E-2</v>
      </c>
      <c r="E896">
        <f t="shared" si="130"/>
        <v>8.0000000096874968E-2</v>
      </c>
      <c r="P896">
        <f t="shared" si="134"/>
        <v>0</v>
      </c>
      <c r="Q896">
        <f t="shared" si="135"/>
        <v>0</v>
      </c>
    </row>
    <row r="897" spans="1:17" x14ac:dyDescent="0.45">
      <c r="A897">
        <v>4.44999999999993</v>
      </c>
      <c r="B897">
        <f t="shared" si="131"/>
        <v>2.9999999863513052E-2</v>
      </c>
      <c r="C897">
        <f t="shared" si="132"/>
        <v>0.13000000013648694</v>
      </c>
      <c r="D897">
        <f t="shared" si="133"/>
        <v>8.0000000036396526E-2</v>
      </c>
      <c r="E897">
        <f t="shared" si="130"/>
        <v>8.0000000095845278E-2</v>
      </c>
      <c r="P897">
        <f t="shared" si="134"/>
        <v>0</v>
      </c>
      <c r="Q897">
        <f t="shared" si="135"/>
        <v>0</v>
      </c>
    </row>
    <row r="898" spans="1:17" x14ac:dyDescent="0.45">
      <c r="A898">
        <v>4.4549999999999299</v>
      </c>
      <c r="B898">
        <f t="shared" si="131"/>
        <v>2.9999999866882926E-2</v>
      </c>
      <c r="C898">
        <f t="shared" si="132"/>
        <v>0.13000000013311708</v>
      </c>
      <c r="D898">
        <f t="shared" si="133"/>
        <v>8.0000000035497884E-2</v>
      </c>
      <c r="E898">
        <f t="shared" si="130"/>
        <v>8.0000000094739301E-2</v>
      </c>
      <c r="P898">
        <f t="shared" si="134"/>
        <v>0</v>
      </c>
      <c r="Q898">
        <f t="shared" si="135"/>
        <v>0</v>
      </c>
    </row>
    <row r="899" spans="1:17" x14ac:dyDescent="0.45">
      <c r="A899">
        <v>4.4599999999999298</v>
      </c>
      <c r="B899">
        <f t="shared" si="131"/>
        <v>2.9999999870169602E-2</v>
      </c>
      <c r="C899">
        <f t="shared" si="132"/>
        <v>0.1300000001298304</v>
      </c>
      <c r="D899">
        <f t="shared" si="133"/>
        <v>8.0000000034621446E-2</v>
      </c>
      <c r="E899">
        <f t="shared" si="130"/>
        <v>8.0000000093562187E-2</v>
      </c>
      <c r="P899">
        <f t="shared" si="134"/>
        <v>0</v>
      </c>
      <c r="Q899">
        <f t="shared" si="135"/>
        <v>0</v>
      </c>
    </row>
    <row r="900" spans="1:17" x14ac:dyDescent="0.45">
      <c r="A900">
        <v>4.4649999999999297</v>
      </c>
      <c r="B900">
        <f t="shared" si="131"/>
        <v>2.9999999873375122E-2</v>
      </c>
      <c r="C900">
        <f t="shared" si="132"/>
        <v>0.13000000012662488</v>
      </c>
      <c r="D900">
        <f t="shared" si="133"/>
        <v>8.000000003376663E-2</v>
      </c>
      <c r="E900">
        <f t="shared" si="130"/>
        <v>8.0000000092318987E-2</v>
      </c>
      <c r="P900">
        <f t="shared" si="134"/>
        <v>0</v>
      </c>
      <c r="Q900">
        <f t="shared" si="135"/>
        <v>0</v>
      </c>
    </row>
    <row r="901" spans="1:17" x14ac:dyDescent="0.45">
      <c r="A901">
        <v>4.4699999999999296</v>
      </c>
      <c r="B901">
        <f t="shared" si="131"/>
        <v>2.9999999876501496E-2</v>
      </c>
      <c r="C901">
        <f t="shared" si="132"/>
        <v>0.13000000012349849</v>
      </c>
      <c r="D901">
        <f t="shared" si="133"/>
        <v>8.0000000032932936E-2</v>
      </c>
      <c r="E901">
        <f t="shared" si="130"/>
        <v>8.0000000091014559E-2</v>
      </c>
      <c r="P901">
        <f t="shared" si="134"/>
        <v>0</v>
      </c>
      <c r="Q901">
        <f t="shared" si="135"/>
        <v>0</v>
      </c>
    </row>
    <row r="902" spans="1:17" x14ac:dyDescent="0.45">
      <c r="A902">
        <v>4.4749999999999304</v>
      </c>
      <c r="B902">
        <f t="shared" si="131"/>
        <v>2.9999999879550696E-2</v>
      </c>
      <c r="C902">
        <f t="shared" si="132"/>
        <v>0.13000000012044932</v>
      </c>
      <c r="D902">
        <f t="shared" si="133"/>
        <v>8.0000000032119822E-2</v>
      </c>
      <c r="E902">
        <f t="shared" si="130"/>
        <v>8.0000000089653606E-2</v>
      </c>
      <c r="P902">
        <f t="shared" si="134"/>
        <v>0</v>
      </c>
      <c r="Q902">
        <f t="shared" si="135"/>
        <v>0</v>
      </c>
    </row>
    <row r="903" spans="1:17" x14ac:dyDescent="0.45">
      <c r="A903">
        <v>4.4799999999999303</v>
      </c>
      <c r="B903">
        <f t="shared" si="131"/>
        <v>2.9999999882524594E-2</v>
      </c>
      <c r="C903">
        <f t="shared" si="132"/>
        <v>0.13000000011747542</v>
      </c>
      <c r="D903">
        <f t="shared" si="133"/>
        <v>8.0000000031326776E-2</v>
      </c>
      <c r="E903">
        <f t="shared" ref="E903:E966" si="136">P0-SIGN(DeltaThetaDeg)*EXP(-Xi*Wn*A903)*(COS(Wd*A903)-(Xi*Wn-1)/(Wd)*SIN(Wd*A903))*Ppeak</f>
        <v>8.000000008824068E-2</v>
      </c>
      <c r="P903">
        <f t="shared" si="134"/>
        <v>0</v>
      </c>
      <c r="Q903">
        <f t="shared" si="135"/>
        <v>0</v>
      </c>
    </row>
    <row r="904" spans="1:17" x14ac:dyDescent="0.45">
      <c r="A904">
        <v>4.4849999999999302</v>
      </c>
      <c r="B904">
        <f t="shared" si="131"/>
        <v>2.9999999885425066E-2</v>
      </c>
      <c r="C904">
        <f t="shared" si="132"/>
        <v>0.13000000011457494</v>
      </c>
      <c r="D904">
        <f t="shared" si="133"/>
        <v>8.0000000030553312E-2</v>
      </c>
      <c r="E904">
        <f t="shared" si="136"/>
        <v>8.0000000086780182E-2</v>
      </c>
      <c r="P904">
        <f t="shared" si="134"/>
        <v>0</v>
      </c>
      <c r="Q904">
        <f t="shared" si="135"/>
        <v>0</v>
      </c>
    </row>
    <row r="905" spans="1:17" x14ac:dyDescent="0.45">
      <c r="A905">
        <v>4.48999999999993</v>
      </c>
      <c r="B905">
        <f t="shared" ref="B905:B968" si="137">P0-Ppeak*(1+Marge_haute)*EXP(-Sigma*A903)-Tunnel</f>
        <v>2.9999999888253942E-2</v>
      </c>
      <c r="C905">
        <f t="shared" ref="C905:C968" si="138">P0+Ppeak*(1+Marge_haute)*EXP(-Sigma*A903)+Tunnel</f>
        <v>0.13000000011174606</v>
      </c>
      <c r="D905">
        <f t="shared" ref="D905:D968" si="139">P0-SIGN(DeltaThetaDeg)*Marge_basse*Ppeak*EXP(-Sigma*A903)</f>
        <v>8.0000000029798957E-2</v>
      </c>
      <c r="E905">
        <f t="shared" si="136"/>
        <v>8.0000000085276371E-2</v>
      </c>
      <c r="P905">
        <f t="shared" si="134"/>
        <v>0</v>
      </c>
      <c r="Q905">
        <f t="shared" si="135"/>
        <v>0</v>
      </c>
    </row>
    <row r="906" spans="1:17" x14ac:dyDescent="0.45">
      <c r="A906">
        <v>4.4949999999999299</v>
      </c>
      <c r="B906">
        <f t="shared" si="137"/>
        <v>2.9999999891012957E-2</v>
      </c>
      <c r="C906">
        <f t="shared" si="138"/>
        <v>0.13000000010898705</v>
      </c>
      <c r="D906">
        <f t="shared" si="139"/>
        <v>8.0000000029063212E-2</v>
      </c>
      <c r="E906">
        <f t="shared" si="136"/>
        <v>8.0000000083733327E-2</v>
      </c>
      <c r="P906">
        <f t="shared" si="134"/>
        <v>0</v>
      </c>
      <c r="Q906">
        <f t="shared" si="135"/>
        <v>0</v>
      </c>
    </row>
    <row r="907" spans="1:17" x14ac:dyDescent="0.45">
      <c r="A907">
        <v>4.4999999999999298</v>
      </c>
      <c r="B907">
        <f t="shared" si="137"/>
        <v>2.999999989370386E-2</v>
      </c>
      <c r="C907">
        <f t="shared" si="138"/>
        <v>0.13000000010629614</v>
      </c>
      <c r="D907">
        <f t="shared" si="139"/>
        <v>8.0000000028345633E-2</v>
      </c>
      <c r="E907">
        <f t="shared" si="136"/>
        <v>8.0000000082155007E-2</v>
      </c>
      <c r="P907">
        <f t="shared" ref="P907:P970" si="140">IF(EMT_simulation,N903,N907)</f>
        <v>0</v>
      </c>
      <c r="Q907">
        <f t="shared" ref="Q907:Q970" si="141">IF(EMT_simulation,O903,O907)</f>
        <v>0</v>
      </c>
    </row>
    <row r="908" spans="1:17" x14ac:dyDescent="0.45">
      <c r="A908">
        <v>4.5049999999999297</v>
      </c>
      <c r="B908">
        <f t="shared" si="137"/>
        <v>2.9999999896328317E-2</v>
      </c>
      <c r="C908">
        <f t="shared" si="138"/>
        <v>0.13000000010367169</v>
      </c>
      <c r="D908">
        <f t="shared" si="139"/>
        <v>8.0000000027645776E-2</v>
      </c>
      <c r="E908">
        <f t="shared" si="136"/>
        <v>8.0000000080545225E-2</v>
      </c>
      <c r="P908">
        <f t="shared" si="140"/>
        <v>0</v>
      </c>
      <c r="Q908">
        <f t="shared" si="141"/>
        <v>0</v>
      </c>
    </row>
    <row r="909" spans="1:17" x14ac:dyDescent="0.45">
      <c r="A909">
        <v>4.5099999999999296</v>
      </c>
      <c r="B909">
        <f t="shared" si="137"/>
        <v>2.9999999898887977E-2</v>
      </c>
      <c r="C909">
        <f t="shared" si="138"/>
        <v>0.13000000010111201</v>
      </c>
      <c r="D909">
        <f t="shared" si="139"/>
        <v>8.0000000026963211E-2</v>
      </c>
      <c r="E909">
        <f t="shared" si="136"/>
        <v>8.0000000078907632E-2</v>
      </c>
      <c r="P909">
        <f t="shared" si="140"/>
        <v>0</v>
      </c>
      <c r="Q909">
        <f t="shared" si="141"/>
        <v>0</v>
      </c>
    </row>
    <row r="910" spans="1:17" x14ac:dyDescent="0.45">
      <c r="A910">
        <v>4.5149999999999304</v>
      </c>
      <c r="B910">
        <f t="shared" si="137"/>
        <v>2.9999999901384453E-2</v>
      </c>
      <c r="C910">
        <f t="shared" si="138"/>
        <v>0.13000000009861556</v>
      </c>
      <c r="D910">
        <f t="shared" si="139"/>
        <v>8.000000002629748E-2</v>
      </c>
      <c r="E910">
        <f t="shared" si="136"/>
        <v>8.0000000077245739E-2</v>
      </c>
      <c r="P910">
        <f t="shared" si="140"/>
        <v>0</v>
      </c>
      <c r="Q910">
        <f t="shared" si="141"/>
        <v>0</v>
      </c>
    </row>
    <row r="911" spans="1:17" x14ac:dyDescent="0.45">
      <c r="A911">
        <v>4.5199999999999303</v>
      </c>
      <c r="B911">
        <f t="shared" si="137"/>
        <v>2.9999999903819269E-2</v>
      </c>
      <c r="C911">
        <f t="shared" si="138"/>
        <v>0.13000000009618073</v>
      </c>
      <c r="D911">
        <f t="shared" si="139"/>
        <v>8.0000000025648194E-2</v>
      </c>
      <c r="E911">
        <f t="shared" si="136"/>
        <v>8.0000000075562933E-2</v>
      </c>
      <c r="P911">
        <f t="shared" si="140"/>
        <v>0</v>
      </c>
      <c r="Q911">
        <f t="shared" si="141"/>
        <v>0</v>
      </c>
    </row>
    <row r="912" spans="1:17" x14ac:dyDescent="0.45">
      <c r="A912">
        <v>4.5249999999999302</v>
      </c>
      <c r="B912">
        <f t="shared" si="137"/>
        <v>2.999999990619398E-2</v>
      </c>
      <c r="C912">
        <f t="shared" si="138"/>
        <v>0.13000000009380602</v>
      </c>
      <c r="D912">
        <f t="shared" si="139"/>
        <v>8.0000000025014936E-2</v>
      </c>
      <c r="E912">
        <f t="shared" si="136"/>
        <v>8.0000000073862446E-2</v>
      </c>
      <c r="P912">
        <f t="shared" si="140"/>
        <v>0</v>
      </c>
      <c r="Q912">
        <f t="shared" si="141"/>
        <v>0</v>
      </c>
    </row>
    <row r="913" spans="1:17" x14ac:dyDescent="0.45">
      <c r="A913">
        <v>4.5299999999999301</v>
      </c>
      <c r="B913">
        <f t="shared" si="137"/>
        <v>2.9999999908510058E-2</v>
      </c>
      <c r="C913">
        <f t="shared" si="138"/>
        <v>0.13000000009148993</v>
      </c>
      <c r="D913">
        <f t="shared" si="139"/>
        <v>8.0000000024397319E-2</v>
      </c>
      <c r="E913">
        <f t="shared" si="136"/>
        <v>8.0000000072147401E-2</v>
      </c>
      <c r="P913">
        <f t="shared" si="140"/>
        <v>0</v>
      </c>
      <c r="Q913">
        <f t="shared" si="141"/>
        <v>0</v>
      </c>
    </row>
    <row r="914" spans="1:17" x14ac:dyDescent="0.45">
      <c r="A914">
        <v>4.53499999999993</v>
      </c>
      <c r="B914">
        <f t="shared" si="137"/>
        <v>2.999999991076896E-2</v>
      </c>
      <c r="C914">
        <f t="shared" si="138"/>
        <v>0.13000000008923104</v>
      </c>
      <c r="D914">
        <f t="shared" si="139"/>
        <v>8.000000002379494E-2</v>
      </c>
      <c r="E914">
        <f t="shared" si="136"/>
        <v>8.0000000070420768E-2</v>
      </c>
      <c r="P914">
        <f t="shared" si="140"/>
        <v>0</v>
      </c>
      <c r="Q914">
        <f t="shared" si="141"/>
        <v>0</v>
      </c>
    </row>
    <row r="915" spans="1:17" x14ac:dyDescent="0.45">
      <c r="A915">
        <v>4.5399999999999299</v>
      </c>
      <c r="B915">
        <f t="shared" si="137"/>
        <v>2.9999999912972072E-2</v>
      </c>
      <c r="C915">
        <f t="shared" si="138"/>
        <v>0.13000000008702794</v>
      </c>
      <c r="D915">
        <f t="shared" si="139"/>
        <v>8.0000000023207452E-2</v>
      </c>
      <c r="E915">
        <f t="shared" si="136"/>
        <v>8.0000000068685378E-2</v>
      </c>
      <c r="P915">
        <f t="shared" si="140"/>
        <v>0</v>
      </c>
      <c r="Q915">
        <f t="shared" si="141"/>
        <v>0</v>
      </c>
    </row>
    <row r="916" spans="1:17" x14ac:dyDescent="0.45">
      <c r="A916">
        <v>4.5449999999999298</v>
      </c>
      <c r="B916">
        <f t="shared" si="137"/>
        <v>2.9999999915120812E-2</v>
      </c>
      <c r="C916">
        <f t="shared" si="138"/>
        <v>0.13000000008487919</v>
      </c>
      <c r="D916">
        <f t="shared" si="139"/>
        <v>8.0000000022634452E-2</v>
      </c>
      <c r="E916">
        <f t="shared" si="136"/>
        <v>8.0000000066943966E-2</v>
      </c>
      <c r="P916">
        <f t="shared" si="140"/>
        <v>0</v>
      </c>
      <c r="Q916">
        <f t="shared" si="141"/>
        <v>0</v>
      </c>
    </row>
    <row r="917" spans="1:17" x14ac:dyDescent="0.45">
      <c r="A917">
        <v>4.5499999999999297</v>
      </c>
      <c r="B917">
        <f t="shared" si="137"/>
        <v>2.9999999917216483E-2</v>
      </c>
      <c r="C917">
        <f t="shared" si="138"/>
        <v>0.13000000008278351</v>
      </c>
      <c r="D917">
        <f t="shared" si="139"/>
        <v>8.0000000022075607E-2</v>
      </c>
      <c r="E917">
        <f t="shared" si="136"/>
        <v>8.0000000065199112E-2</v>
      </c>
      <c r="P917">
        <f t="shared" si="140"/>
        <v>0</v>
      </c>
      <c r="Q917">
        <f t="shared" si="141"/>
        <v>0</v>
      </c>
    </row>
    <row r="918" spans="1:17" x14ac:dyDescent="0.45">
      <c r="A918">
        <v>4.5549999999999304</v>
      </c>
      <c r="B918">
        <f t="shared" si="137"/>
        <v>2.9999999919260417E-2</v>
      </c>
      <c r="C918">
        <f t="shared" si="138"/>
        <v>0.13000000008073959</v>
      </c>
      <c r="D918">
        <f t="shared" si="139"/>
        <v>8.0000000021530557E-2</v>
      </c>
      <c r="E918">
        <f t="shared" si="136"/>
        <v>8.00000000634533E-2</v>
      </c>
      <c r="P918">
        <f t="shared" si="140"/>
        <v>0</v>
      </c>
      <c r="Q918">
        <f t="shared" si="141"/>
        <v>0</v>
      </c>
    </row>
    <row r="919" spans="1:17" x14ac:dyDescent="0.45">
      <c r="A919">
        <v>4.5599999999999303</v>
      </c>
      <c r="B919">
        <f t="shared" si="137"/>
        <v>2.9999999921253878E-2</v>
      </c>
      <c r="C919">
        <f t="shared" si="138"/>
        <v>0.13000000007874613</v>
      </c>
      <c r="D919">
        <f t="shared" si="139"/>
        <v>8.0000000020998968E-2</v>
      </c>
      <c r="E919">
        <f t="shared" si="136"/>
        <v>8.0000000061708862E-2</v>
      </c>
      <c r="P919">
        <f t="shared" si="140"/>
        <v>0</v>
      </c>
      <c r="Q919">
        <f t="shared" si="141"/>
        <v>0</v>
      </c>
    </row>
    <row r="920" spans="1:17" x14ac:dyDescent="0.45">
      <c r="A920">
        <v>4.5649999999999302</v>
      </c>
      <c r="B920">
        <f t="shared" si="137"/>
        <v>2.9999999923198128E-2</v>
      </c>
      <c r="C920">
        <f t="shared" si="138"/>
        <v>0.13000000007680187</v>
      </c>
      <c r="D920">
        <f t="shared" si="139"/>
        <v>8.0000000020480494E-2</v>
      </c>
      <c r="E920">
        <f t="shared" si="136"/>
        <v>8.0000000059968046E-2</v>
      </c>
      <c r="P920">
        <f t="shared" si="140"/>
        <v>0</v>
      </c>
      <c r="Q920">
        <f t="shared" si="141"/>
        <v>0</v>
      </c>
    </row>
    <row r="921" spans="1:17" x14ac:dyDescent="0.45">
      <c r="A921">
        <v>4.5699999999999301</v>
      </c>
      <c r="B921">
        <f t="shared" si="137"/>
        <v>2.9999999925094376E-2</v>
      </c>
      <c r="C921">
        <f t="shared" si="138"/>
        <v>0.13000000007490564</v>
      </c>
      <c r="D921">
        <f t="shared" si="139"/>
        <v>8.0000000019974829E-2</v>
      </c>
      <c r="E921">
        <f t="shared" si="136"/>
        <v>8.0000000058232976E-2</v>
      </c>
      <c r="P921">
        <f t="shared" si="140"/>
        <v>0</v>
      </c>
      <c r="Q921">
        <f t="shared" si="141"/>
        <v>0</v>
      </c>
    </row>
    <row r="922" spans="1:17" x14ac:dyDescent="0.45">
      <c r="A922">
        <v>4.57499999999993</v>
      </c>
      <c r="B922">
        <f t="shared" si="137"/>
        <v>2.9999999926943799E-2</v>
      </c>
      <c r="C922">
        <f t="shared" si="138"/>
        <v>0.1300000000730562</v>
      </c>
      <c r="D922">
        <f t="shared" si="139"/>
        <v>8.0000000019481654E-2</v>
      </c>
      <c r="E922">
        <f t="shared" si="136"/>
        <v>8.0000000056505649E-2</v>
      </c>
      <c r="P922">
        <f t="shared" si="140"/>
        <v>0</v>
      </c>
      <c r="Q922">
        <f t="shared" si="141"/>
        <v>0</v>
      </c>
    </row>
    <row r="923" spans="1:17" x14ac:dyDescent="0.45">
      <c r="A923">
        <v>4.5799999999999299</v>
      </c>
      <c r="B923">
        <f t="shared" si="137"/>
        <v>2.9999999928747564E-2</v>
      </c>
      <c r="C923">
        <f t="shared" si="138"/>
        <v>0.13000000007125245</v>
      </c>
      <c r="D923">
        <f t="shared" si="139"/>
        <v>8.000000001900065E-2</v>
      </c>
      <c r="E923">
        <f t="shared" si="136"/>
        <v>8.0000000054787981E-2</v>
      </c>
      <c r="P923">
        <f t="shared" si="140"/>
        <v>0</v>
      </c>
      <c r="Q923">
        <f t="shared" si="141"/>
        <v>0</v>
      </c>
    </row>
    <row r="924" spans="1:17" x14ac:dyDescent="0.45">
      <c r="A924">
        <v>4.5849999999999298</v>
      </c>
      <c r="B924">
        <f t="shared" si="137"/>
        <v>2.9999999930506796E-2</v>
      </c>
      <c r="C924">
        <f t="shared" si="138"/>
        <v>0.13000000006949319</v>
      </c>
      <c r="D924">
        <f t="shared" si="139"/>
        <v>8.0000000018531525E-2</v>
      </c>
      <c r="E924">
        <f t="shared" si="136"/>
        <v>8.0000000053081763E-2</v>
      </c>
      <c r="P924">
        <f t="shared" si="140"/>
        <v>0</v>
      </c>
      <c r="Q924">
        <f t="shared" si="141"/>
        <v>0</v>
      </c>
    </row>
    <row r="925" spans="1:17" x14ac:dyDescent="0.45">
      <c r="A925">
        <v>4.5899999999999297</v>
      </c>
      <c r="B925">
        <f t="shared" si="137"/>
        <v>2.999999993222259E-2</v>
      </c>
      <c r="C925">
        <f t="shared" si="138"/>
        <v>0.1300000000677774</v>
      </c>
      <c r="D925">
        <f t="shared" si="139"/>
        <v>8.0000000018073975E-2</v>
      </c>
      <c r="E925">
        <f t="shared" si="136"/>
        <v>8.0000000051388687E-2</v>
      </c>
      <c r="P925">
        <f t="shared" si="140"/>
        <v>0</v>
      </c>
      <c r="Q925">
        <f t="shared" si="141"/>
        <v>0</v>
      </c>
    </row>
    <row r="926" spans="1:17" x14ac:dyDescent="0.45">
      <c r="A926">
        <v>4.5949999999999296</v>
      </c>
      <c r="B926">
        <f t="shared" si="137"/>
        <v>2.9999999933896015E-2</v>
      </c>
      <c r="C926">
        <f t="shared" si="138"/>
        <v>0.13000000006610399</v>
      </c>
      <c r="D926">
        <f t="shared" si="139"/>
        <v>8.0000000017627734E-2</v>
      </c>
      <c r="E926">
        <f t="shared" si="136"/>
        <v>8.0000000049710362E-2</v>
      </c>
      <c r="P926">
        <f t="shared" si="140"/>
        <v>0</v>
      </c>
      <c r="Q926">
        <f t="shared" si="141"/>
        <v>0</v>
      </c>
    </row>
    <row r="927" spans="1:17" x14ac:dyDescent="0.45">
      <c r="A927">
        <v>4.5999999999999304</v>
      </c>
      <c r="B927">
        <f t="shared" si="137"/>
        <v>2.9999999935528127E-2</v>
      </c>
      <c r="C927">
        <f t="shared" si="138"/>
        <v>0.13000000006447188</v>
      </c>
      <c r="D927">
        <f t="shared" si="139"/>
        <v>8.0000000017192499E-2</v>
      </c>
      <c r="E927">
        <f t="shared" si="136"/>
        <v>8.0000000048048261E-2</v>
      </c>
      <c r="P927">
        <f t="shared" si="140"/>
        <v>0</v>
      </c>
      <c r="Q927">
        <f t="shared" si="141"/>
        <v>0</v>
      </c>
    </row>
    <row r="928" spans="1:17" x14ac:dyDescent="0.45">
      <c r="A928">
        <v>4.6049999999999303</v>
      </c>
      <c r="B928">
        <f t="shared" si="137"/>
        <v>2.999999993711995E-2</v>
      </c>
      <c r="C928">
        <f t="shared" si="138"/>
        <v>0.13000000006288004</v>
      </c>
      <c r="D928">
        <f t="shared" si="139"/>
        <v>8.0000000016768019E-2</v>
      </c>
      <c r="E928">
        <f t="shared" si="136"/>
        <v>8.0000000046403799E-2</v>
      </c>
      <c r="P928">
        <f t="shared" si="140"/>
        <v>0</v>
      </c>
      <c r="Q928">
        <f t="shared" si="141"/>
        <v>0</v>
      </c>
    </row>
    <row r="929" spans="1:17" x14ac:dyDescent="0.45">
      <c r="A929">
        <v>4.6099999999999302</v>
      </c>
      <c r="B929">
        <f t="shared" si="137"/>
        <v>2.9999999938672459E-2</v>
      </c>
      <c r="C929">
        <f t="shared" si="138"/>
        <v>0.13000000006132756</v>
      </c>
      <c r="D929">
        <f t="shared" si="139"/>
        <v>8.0000000016354017E-2</v>
      </c>
      <c r="E929">
        <f t="shared" si="136"/>
        <v>8.000000004477828E-2</v>
      </c>
      <c r="P929">
        <f t="shared" si="140"/>
        <v>0</v>
      </c>
      <c r="Q929">
        <f t="shared" si="141"/>
        <v>0</v>
      </c>
    </row>
    <row r="930" spans="1:17" x14ac:dyDescent="0.45">
      <c r="A930">
        <v>4.61499999999993</v>
      </c>
      <c r="B930">
        <f t="shared" si="137"/>
        <v>2.9999999940186636E-2</v>
      </c>
      <c r="C930">
        <f t="shared" si="138"/>
        <v>0.13000000005981338</v>
      </c>
      <c r="D930">
        <f t="shared" si="139"/>
        <v>8.0000000015950229E-2</v>
      </c>
      <c r="E930">
        <f t="shared" si="136"/>
        <v>8.0000000043172925E-2</v>
      </c>
      <c r="P930">
        <f t="shared" si="140"/>
        <v>0</v>
      </c>
      <c r="Q930">
        <f t="shared" si="141"/>
        <v>0</v>
      </c>
    </row>
    <row r="931" spans="1:17" x14ac:dyDescent="0.45">
      <c r="A931">
        <v>4.6199999999999299</v>
      </c>
      <c r="B931">
        <f t="shared" si="137"/>
        <v>2.9999999941663441E-2</v>
      </c>
      <c r="C931">
        <f t="shared" si="138"/>
        <v>0.13000000005833656</v>
      </c>
      <c r="D931">
        <f t="shared" si="139"/>
        <v>8.0000000015556419E-2</v>
      </c>
      <c r="E931">
        <f t="shared" si="136"/>
        <v>8.0000000041588887E-2</v>
      </c>
      <c r="P931">
        <f t="shared" si="140"/>
        <v>0</v>
      </c>
      <c r="Q931">
        <f t="shared" si="141"/>
        <v>0</v>
      </c>
    </row>
    <row r="932" spans="1:17" x14ac:dyDescent="0.45">
      <c r="A932">
        <v>4.6249999999999298</v>
      </c>
      <c r="B932">
        <f t="shared" si="137"/>
        <v>2.9999999943103775E-2</v>
      </c>
      <c r="C932">
        <f t="shared" si="138"/>
        <v>0.13000000005689621</v>
      </c>
      <c r="D932">
        <f t="shared" si="139"/>
        <v>8.0000000015172323E-2</v>
      </c>
      <c r="E932">
        <f t="shared" si="136"/>
        <v>8.0000000040027205E-2</v>
      </c>
      <c r="P932">
        <f t="shared" si="140"/>
        <v>0</v>
      </c>
      <c r="Q932">
        <f t="shared" si="141"/>
        <v>0</v>
      </c>
    </row>
    <row r="933" spans="1:17" x14ac:dyDescent="0.45">
      <c r="A933">
        <v>4.6299999999999297</v>
      </c>
      <c r="B933">
        <f t="shared" si="137"/>
        <v>2.9999999944508554E-2</v>
      </c>
      <c r="C933">
        <f t="shared" si="138"/>
        <v>0.13000000005549145</v>
      </c>
      <c r="D933">
        <f t="shared" si="139"/>
        <v>8.000000001479772E-2</v>
      </c>
      <c r="E933">
        <f t="shared" si="136"/>
        <v>8.0000000038488839E-2</v>
      </c>
      <c r="P933">
        <f t="shared" si="140"/>
        <v>0</v>
      </c>
      <c r="Q933">
        <f t="shared" si="141"/>
        <v>0</v>
      </c>
    </row>
    <row r="934" spans="1:17" x14ac:dyDescent="0.45">
      <c r="A934">
        <v>4.6349999999999296</v>
      </c>
      <c r="B934">
        <f t="shared" si="137"/>
        <v>2.9999999945878639E-2</v>
      </c>
      <c r="C934">
        <f t="shared" si="138"/>
        <v>0.13000000005412138</v>
      </c>
      <c r="D934">
        <f t="shared" si="139"/>
        <v>8.000000001443236E-2</v>
      </c>
      <c r="E934">
        <f t="shared" si="136"/>
        <v>8.0000000036974703E-2</v>
      </c>
      <c r="P934">
        <f t="shared" si="140"/>
        <v>0</v>
      </c>
      <c r="Q934">
        <f t="shared" si="141"/>
        <v>0</v>
      </c>
    </row>
    <row r="935" spans="1:17" x14ac:dyDescent="0.45">
      <c r="A935">
        <v>4.6399999999999304</v>
      </c>
      <c r="B935">
        <f t="shared" si="137"/>
        <v>2.9999999947214903E-2</v>
      </c>
      <c r="C935">
        <f t="shared" si="138"/>
        <v>0.13000000005278511</v>
      </c>
      <c r="D935">
        <f t="shared" si="139"/>
        <v>8.0000000014076034E-2</v>
      </c>
      <c r="E935">
        <f t="shared" si="136"/>
        <v>8.0000000035485602E-2</v>
      </c>
      <c r="P935">
        <f t="shared" si="140"/>
        <v>0</v>
      </c>
      <c r="Q935">
        <f t="shared" si="141"/>
        <v>0</v>
      </c>
    </row>
    <row r="936" spans="1:17" x14ac:dyDescent="0.45">
      <c r="A936">
        <v>4.6449999999999303</v>
      </c>
      <c r="B936">
        <f t="shared" si="137"/>
        <v>2.9999999948518166E-2</v>
      </c>
      <c r="C936">
        <f t="shared" si="138"/>
        <v>0.13000000005148182</v>
      </c>
      <c r="D936">
        <f t="shared" si="139"/>
        <v>8.0000000013728492E-2</v>
      </c>
      <c r="E936">
        <f t="shared" si="136"/>
        <v>8.0000000034022287E-2</v>
      </c>
      <c r="P936">
        <f t="shared" si="140"/>
        <v>0</v>
      </c>
      <c r="Q936">
        <f t="shared" si="141"/>
        <v>0</v>
      </c>
    </row>
    <row r="937" spans="1:17" x14ac:dyDescent="0.45">
      <c r="A937">
        <v>4.6499999999999302</v>
      </c>
      <c r="B937">
        <f t="shared" si="137"/>
        <v>2.9999999949789261E-2</v>
      </c>
      <c r="C937">
        <f t="shared" si="138"/>
        <v>0.13000000005021073</v>
      </c>
      <c r="D937">
        <f t="shared" si="139"/>
        <v>8.0000000013389527E-2</v>
      </c>
      <c r="E937">
        <f t="shared" si="136"/>
        <v>8.0000000032585436E-2</v>
      </c>
      <c r="P937">
        <f t="shared" si="140"/>
        <v>0</v>
      </c>
      <c r="Q937">
        <f t="shared" si="141"/>
        <v>0</v>
      </c>
    </row>
    <row r="938" spans="1:17" x14ac:dyDescent="0.45">
      <c r="A938">
        <v>4.6549999999999301</v>
      </c>
      <c r="B938">
        <f t="shared" si="137"/>
        <v>2.9999999951028963E-2</v>
      </c>
      <c r="C938">
        <f t="shared" si="138"/>
        <v>0.13000000004897105</v>
      </c>
      <c r="D938">
        <f t="shared" si="139"/>
        <v>8.0000000013058944E-2</v>
      </c>
      <c r="E938">
        <f t="shared" si="136"/>
        <v>8.0000000031175633E-2</v>
      </c>
      <c r="P938">
        <f t="shared" si="140"/>
        <v>0</v>
      </c>
      <c r="Q938">
        <f t="shared" si="141"/>
        <v>0</v>
      </c>
    </row>
    <row r="939" spans="1:17" x14ac:dyDescent="0.45">
      <c r="A939">
        <v>4.65999999999993</v>
      </c>
      <c r="B939">
        <f t="shared" si="137"/>
        <v>2.9999999952238066E-2</v>
      </c>
      <c r="C939">
        <f t="shared" si="138"/>
        <v>0.13000000004776194</v>
      </c>
      <c r="D939">
        <f t="shared" si="139"/>
        <v>8.0000000012736522E-2</v>
      </c>
      <c r="E939">
        <f t="shared" si="136"/>
        <v>8.0000000029793433E-2</v>
      </c>
      <c r="P939">
        <f t="shared" si="140"/>
        <v>0</v>
      </c>
      <c r="Q939">
        <f t="shared" si="141"/>
        <v>0</v>
      </c>
    </row>
    <row r="940" spans="1:17" x14ac:dyDescent="0.45">
      <c r="A940">
        <v>4.6649999999999299</v>
      </c>
      <c r="B940">
        <f t="shared" si="137"/>
        <v>2.9999999953417317E-2</v>
      </c>
      <c r="C940">
        <f t="shared" si="138"/>
        <v>0.13000000004658269</v>
      </c>
      <c r="D940">
        <f t="shared" si="139"/>
        <v>8.0000000012422051E-2</v>
      </c>
      <c r="E940">
        <f t="shared" si="136"/>
        <v>8.0000000028439322E-2</v>
      </c>
      <c r="P940">
        <f t="shared" si="140"/>
        <v>0</v>
      </c>
      <c r="Q940">
        <f t="shared" si="141"/>
        <v>0</v>
      </c>
    </row>
    <row r="941" spans="1:17" x14ac:dyDescent="0.45">
      <c r="A941">
        <v>4.6699999999999298</v>
      </c>
      <c r="B941">
        <f t="shared" si="137"/>
        <v>2.9999999954567438E-2</v>
      </c>
      <c r="C941">
        <f t="shared" si="138"/>
        <v>0.13000000004543255</v>
      </c>
      <c r="D941">
        <f t="shared" si="139"/>
        <v>8.0000000012115352E-2</v>
      </c>
      <c r="E941">
        <f t="shared" si="136"/>
        <v>8.0000000027113716E-2</v>
      </c>
      <c r="P941">
        <f t="shared" si="140"/>
        <v>0</v>
      </c>
      <c r="Q941">
        <f t="shared" si="141"/>
        <v>0</v>
      </c>
    </row>
    <row r="942" spans="1:17" x14ac:dyDescent="0.45">
      <c r="A942">
        <v>4.6749999999999297</v>
      </c>
      <c r="B942">
        <f t="shared" si="137"/>
        <v>2.999999995568918E-2</v>
      </c>
      <c r="C942">
        <f t="shared" si="138"/>
        <v>0.13000000004431084</v>
      </c>
      <c r="D942">
        <f t="shared" si="139"/>
        <v>8.0000000011816216E-2</v>
      </c>
      <c r="E942">
        <f t="shared" si="136"/>
        <v>8.0000000025816961E-2</v>
      </c>
      <c r="P942">
        <f t="shared" si="140"/>
        <v>0</v>
      </c>
      <c r="Q942">
        <f t="shared" si="141"/>
        <v>0</v>
      </c>
    </row>
    <row r="943" spans="1:17" x14ac:dyDescent="0.45">
      <c r="A943">
        <v>4.6799999999999304</v>
      </c>
      <c r="B943">
        <f t="shared" si="137"/>
        <v>2.9999999956783208E-2</v>
      </c>
      <c r="C943">
        <f t="shared" si="138"/>
        <v>0.1300000000432168</v>
      </c>
      <c r="D943">
        <f t="shared" si="139"/>
        <v>8.0000000011524477E-2</v>
      </c>
      <c r="E943">
        <f t="shared" si="136"/>
        <v>8.0000000024549378E-2</v>
      </c>
      <c r="P943">
        <f t="shared" si="140"/>
        <v>0</v>
      </c>
      <c r="Q943">
        <f t="shared" si="141"/>
        <v>0</v>
      </c>
    </row>
    <row r="944" spans="1:17" x14ac:dyDescent="0.45">
      <c r="A944">
        <v>4.6849999999999303</v>
      </c>
      <c r="B944">
        <f t="shared" si="137"/>
        <v>2.9999999957850243E-2</v>
      </c>
      <c r="C944">
        <f t="shared" si="138"/>
        <v>0.13000000004214976</v>
      </c>
      <c r="D944">
        <f t="shared" si="139"/>
        <v>8.0000000011239941E-2</v>
      </c>
      <c r="E944">
        <f t="shared" si="136"/>
        <v>8.0000000023311216E-2</v>
      </c>
      <c r="P944">
        <f t="shared" si="140"/>
        <v>0</v>
      </c>
      <c r="Q944">
        <f t="shared" si="141"/>
        <v>0</v>
      </c>
    </row>
    <row r="945" spans="1:17" x14ac:dyDescent="0.45">
      <c r="A945">
        <v>4.6899999999999302</v>
      </c>
      <c r="B945">
        <f t="shared" si="137"/>
        <v>2.9999999958890924E-2</v>
      </c>
      <c r="C945">
        <f t="shared" si="138"/>
        <v>0.13000000004110907</v>
      </c>
      <c r="D945">
        <f t="shared" si="139"/>
        <v>8.0000000010962427E-2</v>
      </c>
      <c r="E945">
        <f t="shared" si="136"/>
        <v>8.0000000022102655E-2</v>
      </c>
      <c r="P945">
        <f t="shared" si="140"/>
        <v>0</v>
      </c>
      <c r="Q945">
        <f t="shared" si="141"/>
        <v>0</v>
      </c>
    </row>
    <row r="946" spans="1:17" x14ac:dyDescent="0.45">
      <c r="A946">
        <v>4.6949999999999301</v>
      </c>
      <c r="B946">
        <f t="shared" si="137"/>
        <v>2.9999999959905904E-2</v>
      </c>
      <c r="C946">
        <f t="shared" si="138"/>
        <v>0.1300000000400941</v>
      </c>
      <c r="D946">
        <f t="shared" si="139"/>
        <v>8.0000000010691755E-2</v>
      </c>
      <c r="E946">
        <f t="shared" si="136"/>
        <v>8.0000000020923862E-2</v>
      </c>
      <c r="P946">
        <f t="shared" si="140"/>
        <v>0</v>
      </c>
      <c r="Q946">
        <f t="shared" si="141"/>
        <v>0</v>
      </c>
    </row>
    <row r="947" spans="1:17" x14ac:dyDescent="0.45">
      <c r="A947">
        <v>4.69999999999993</v>
      </c>
      <c r="B947">
        <f t="shared" si="137"/>
        <v>2.9999999960895835E-2</v>
      </c>
      <c r="C947">
        <f t="shared" si="138"/>
        <v>0.13000000003910417</v>
      </c>
      <c r="D947">
        <f t="shared" si="139"/>
        <v>8.0000000010427785E-2</v>
      </c>
      <c r="E947">
        <f t="shared" si="136"/>
        <v>8.0000000019774947E-2</v>
      </c>
      <c r="P947">
        <f t="shared" si="140"/>
        <v>0</v>
      </c>
      <c r="Q947">
        <f t="shared" si="141"/>
        <v>0</v>
      </c>
    </row>
    <row r="948" spans="1:17" x14ac:dyDescent="0.45">
      <c r="A948">
        <v>4.7049999999999299</v>
      </c>
      <c r="B948">
        <f t="shared" si="137"/>
        <v>2.9999999961861312E-2</v>
      </c>
      <c r="C948">
        <f t="shared" si="138"/>
        <v>0.13000000003813869</v>
      </c>
      <c r="D948">
        <f t="shared" si="139"/>
        <v>8.0000000010170311E-2</v>
      </c>
      <c r="E948">
        <f t="shared" si="136"/>
        <v>8.0000000018655953E-2</v>
      </c>
      <c r="P948">
        <f t="shared" si="140"/>
        <v>0</v>
      </c>
      <c r="Q948">
        <f t="shared" si="141"/>
        <v>0</v>
      </c>
    </row>
    <row r="949" spans="1:17" x14ac:dyDescent="0.45">
      <c r="A949">
        <v>4.7099999999999298</v>
      </c>
      <c r="B949">
        <f t="shared" si="137"/>
        <v>2.9999999962802962E-2</v>
      </c>
      <c r="C949">
        <f t="shared" si="138"/>
        <v>0.13000000003719703</v>
      </c>
      <c r="D949">
        <f t="shared" si="139"/>
        <v>8.0000000009919206E-2</v>
      </c>
      <c r="E949">
        <f t="shared" si="136"/>
        <v>8.0000000017566922E-2</v>
      </c>
      <c r="P949">
        <f t="shared" si="140"/>
        <v>0</v>
      </c>
      <c r="Q949">
        <f t="shared" si="141"/>
        <v>0</v>
      </c>
    </row>
    <row r="950" spans="1:17" x14ac:dyDescent="0.45">
      <c r="A950">
        <v>4.7149999999999297</v>
      </c>
      <c r="B950">
        <f t="shared" si="137"/>
        <v>2.9999999963721366E-2</v>
      </c>
      <c r="C950">
        <f t="shared" si="138"/>
        <v>0.13000000003627865</v>
      </c>
      <c r="D950">
        <f t="shared" si="139"/>
        <v>8.0000000009674305E-2</v>
      </c>
      <c r="E950">
        <f t="shared" si="136"/>
        <v>8.0000000016507797E-2</v>
      </c>
      <c r="P950">
        <f t="shared" si="140"/>
        <v>0</v>
      </c>
      <c r="Q950">
        <f t="shared" si="141"/>
        <v>0</v>
      </c>
    </row>
    <row r="951" spans="1:17" x14ac:dyDescent="0.45">
      <c r="A951">
        <v>4.7199999999999296</v>
      </c>
      <c r="B951">
        <f t="shared" si="137"/>
        <v>2.9999999964617094E-2</v>
      </c>
      <c r="C951">
        <f t="shared" si="138"/>
        <v>0.13000000003538292</v>
      </c>
      <c r="D951">
        <f t="shared" si="139"/>
        <v>8.000000000943544E-2</v>
      </c>
      <c r="E951">
        <f t="shared" si="136"/>
        <v>8.0000000015478551E-2</v>
      </c>
      <c r="P951">
        <f t="shared" si="140"/>
        <v>0</v>
      </c>
      <c r="Q951">
        <f t="shared" si="141"/>
        <v>0</v>
      </c>
    </row>
    <row r="952" spans="1:17" x14ac:dyDescent="0.45">
      <c r="A952">
        <v>4.7249999999999304</v>
      </c>
      <c r="B952">
        <f t="shared" si="137"/>
        <v>2.9999999965490701E-2</v>
      </c>
      <c r="C952">
        <f t="shared" si="138"/>
        <v>0.13000000003450929</v>
      </c>
      <c r="D952">
        <f t="shared" si="139"/>
        <v>8.0000000009202488E-2</v>
      </c>
      <c r="E952">
        <f t="shared" si="136"/>
        <v>8.0000000014479059E-2</v>
      </c>
      <c r="P952">
        <f t="shared" si="140"/>
        <v>0</v>
      </c>
      <c r="Q952">
        <f t="shared" si="141"/>
        <v>0</v>
      </c>
    </row>
    <row r="953" spans="1:17" x14ac:dyDescent="0.45">
      <c r="A953">
        <v>4.7299999999999303</v>
      </c>
      <c r="B953">
        <f t="shared" si="137"/>
        <v>2.9999999966342727E-2</v>
      </c>
      <c r="C953">
        <f t="shared" si="138"/>
        <v>0.13000000003365728</v>
      </c>
      <c r="D953">
        <f t="shared" si="139"/>
        <v>8.0000000008975267E-2</v>
      </c>
      <c r="E953">
        <f t="shared" si="136"/>
        <v>8.0000000013509195E-2</v>
      </c>
      <c r="P953">
        <f t="shared" si="140"/>
        <v>0</v>
      </c>
      <c r="Q953">
        <f t="shared" si="141"/>
        <v>0</v>
      </c>
    </row>
    <row r="954" spans="1:17" x14ac:dyDescent="0.45">
      <c r="A954">
        <v>4.7349999999999302</v>
      </c>
      <c r="B954">
        <f t="shared" si="137"/>
        <v>2.9999999967173729E-2</v>
      </c>
      <c r="C954">
        <f t="shared" si="138"/>
        <v>0.13000000003282627</v>
      </c>
      <c r="D954">
        <f t="shared" si="139"/>
        <v>8.0000000008753666E-2</v>
      </c>
      <c r="E954">
        <f t="shared" si="136"/>
        <v>8.0000000012568809E-2</v>
      </c>
      <c r="P954">
        <f t="shared" si="140"/>
        <v>0</v>
      </c>
      <c r="Q954">
        <f t="shared" si="141"/>
        <v>0</v>
      </c>
    </row>
    <row r="955" spans="1:17" x14ac:dyDescent="0.45">
      <c r="A955">
        <v>4.73999999999993</v>
      </c>
      <c r="B955">
        <f t="shared" si="137"/>
        <v>2.999999996798422E-2</v>
      </c>
      <c r="C955">
        <f t="shared" si="138"/>
        <v>0.13000000003201578</v>
      </c>
      <c r="D955">
        <f t="shared" si="139"/>
        <v>8.0000000008537547E-2</v>
      </c>
      <c r="E955">
        <f t="shared" si="136"/>
        <v>8.000000001165769E-2</v>
      </c>
      <c r="P955">
        <f t="shared" si="140"/>
        <v>0</v>
      </c>
      <c r="Q955">
        <f t="shared" si="141"/>
        <v>0</v>
      </c>
    </row>
    <row r="956" spans="1:17" x14ac:dyDescent="0.45">
      <c r="A956">
        <v>4.7449999999999299</v>
      </c>
      <c r="B956">
        <f t="shared" si="137"/>
        <v>2.9999999968774685E-2</v>
      </c>
      <c r="C956">
        <f t="shared" si="138"/>
        <v>0.1300000000312253</v>
      </c>
      <c r="D956">
        <f t="shared" si="139"/>
        <v>8.0000000008326758E-2</v>
      </c>
      <c r="E956">
        <f t="shared" si="136"/>
        <v>8.0000000010775632E-2</v>
      </c>
      <c r="P956">
        <f t="shared" si="140"/>
        <v>0</v>
      </c>
      <c r="Q956">
        <f t="shared" si="141"/>
        <v>0</v>
      </c>
    </row>
    <row r="957" spans="1:17" x14ac:dyDescent="0.45">
      <c r="A957">
        <v>4.7499999999999298</v>
      </c>
      <c r="B957">
        <f t="shared" si="137"/>
        <v>2.9999999969545638E-2</v>
      </c>
      <c r="C957">
        <f t="shared" si="138"/>
        <v>0.13000000003045437</v>
      </c>
      <c r="D957">
        <f t="shared" si="139"/>
        <v>8.0000000008121158E-2</v>
      </c>
      <c r="E957">
        <f t="shared" si="136"/>
        <v>8.0000000009922356E-2</v>
      </c>
      <c r="P957">
        <f t="shared" si="140"/>
        <v>0</v>
      </c>
      <c r="Q957">
        <f t="shared" si="141"/>
        <v>0</v>
      </c>
    </row>
    <row r="958" spans="1:17" x14ac:dyDescent="0.45">
      <c r="A958">
        <v>4.7549999999999297</v>
      </c>
      <c r="B958">
        <f t="shared" si="137"/>
        <v>2.9999999970297564E-2</v>
      </c>
      <c r="C958">
        <f t="shared" si="138"/>
        <v>0.13000000002970244</v>
      </c>
      <c r="D958">
        <f t="shared" si="139"/>
        <v>8.0000000007920652E-2</v>
      </c>
      <c r="E958">
        <f t="shared" si="136"/>
        <v>8.0000000009097599E-2</v>
      </c>
      <c r="P958">
        <f t="shared" si="140"/>
        <v>0</v>
      </c>
      <c r="Q958">
        <f t="shared" si="141"/>
        <v>0</v>
      </c>
    </row>
    <row r="959" spans="1:17" x14ac:dyDescent="0.45">
      <c r="A959">
        <v>4.7599999999999296</v>
      </c>
      <c r="B959">
        <f t="shared" si="137"/>
        <v>2.9999999971030922E-2</v>
      </c>
      <c r="C959">
        <f t="shared" si="138"/>
        <v>0.13000000002896908</v>
      </c>
      <c r="D959">
        <f t="shared" si="139"/>
        <v>8.0000000007725086E-2</v>
      </c>
      <c r="E959">
        <f t="shared" si="136"/>
        <v>8.0000000008301056E-2</v>
      </c>
      <c r="P959">
        <f t="shared" si="140"/>
        <v>0</v>
      </c>
      <c r="Q959">
        <f t="shared" si="141"/>
        <v>0</v>
      </c>
    </row>
    <row r="960" spans="1:17" x14ac:dyDescent="0.45">
      <c r="A960">
        <v>4.7649999999999304</v>
      </c>
      <c r="B960">
        <f t="shared" si="137"/>
        <v>2.9999999971746169E-2</v>
      </c>
      <c r="C960">
        <f t="shared" si="138"/>
        <v>0.13000000002825385</v>
      </c>
      <c r="D960">
        <f t="shared" si="139"/>
        <v>8.000000000753435E-2</v>
      </c>
      <c r="E960">
        <f t="shared" si="136"/>
        <v>8.0000000007532407E-2</v>
      </c>
      <c r="P960">
        <f t="shared" si="140"/>
        <v>0</v>
      </c>
      <c r="Q960">
        <f t="shared" si="141"/>
        <v>0</v>
      </c>
    </row>
    <row r="961" spans="1:17" x14ac:dyDescent="0.45">
      <c r="A961">
        <v>4.7699999999999303</v>
      </c>
      <c r="B961">
        <f t="shared" si="137"/>
        <v>2.9999999972443764E-2</v>
      </c>
      <c r="C961">
        <f t="shared" si="138"/>
        <v>0.13000000002755624</v>
      </c>
      <c r="D961">
        <f t="shared" si="139"/>
        <v>8.0000000007348332E-2</v>
      </c>
      <c r="E961">
        <f t="shared" si="136"/>
        <v>8.0000000006791305E-2</v>
      </c>
      <c r="P961">
        <f t="shared" si="140"/>
        <v>0</v>
      </c>
      <c r="Q961">
        <f t="shared" si="141"/>
        <v>0</v>
      </c>
    </row>
    <row r="962" spans="1:17" x14ac:dyDescent="0.45">
      <c r="A962">
        <v>4.7749999999999302</v>
      </c>
      <c r="B962">
        <f t="shared" si="137"/>
        <v>2.9999999973124122E-2</v>
      </c>
      <c r="C962">
        <f t="shared" si="138"/>
        <v>0.13000000002687589</v>
      </c>
      <c r="D962">
        <f t="shared" si="139"/>
        <v>8.0000000007166908E-2</v>
      </c>
      <c r="E962">
        <f t="shared" si="136"/>
        <v>8.0000000006077376E-2</v>
      </c>
      <c r="P962">
        <f t="shared" si="140"/>
        <v>0</v>
      </c>
      <c r="Q962">
        <f t="shared" si="141"/>
        <v>0</v>
      </c>
    </row>
    <row r="963" spans="1:17" x14ac:dyDescent="0.45">
      <c r="A963">
        <v>4.7799999999999301</v>
      </c>
      <c r="B963">
        <f t="shared" si="137"/>
        <v>2.9999999973787689E-2</v>
      </c>
      <c r="C963">
        <f t="shared" si="138"/>
        <v>0.13000000002621231</v>
      </c>
      <c r="D963">
        <f t="shared" si="139"/>
        <v>8.0000000006989952E-2</v>
      </c>
      <c r="E963">
        <f t="shared" si="136"/>
        <v>8.0000000005390245E-2</v>
      </c>
      <c r="P963">
        <f t="shared" si="140"/>
        <v>0</v>
      </c>
      <c r="Q963">
        <f t="shared" si="141"/>
        <v>0</v>
      </c>
    </row>
    <row r="964" spans="1:17" x14ac:dyDescent="0.45">
      <c r="A964">
        <v>4.78499999999993</v>
      </c>
      <c r="B964">
        <f t="shared" si="137"/>
        <v>2.9999999974434879E-2</v>
      </c>
      <c r="C964">
        <f t="shared" si="138"/>
        <v>0.13000000002556511</v>
      </c>
      <c r="D964">
        <f t="shared" si="139"/>
        <v>8.0000000006817368E-2</v>
      </c>
      <c r="E964">
        <f t="shared" si="136"/>
        <v>8.000000000472951E-2</v>
      </c>
      <c r="P964">
        <f t="shared" si="140"/>
        <v>0</v>
      </c>
      <c r="Q964">
        <f t="shared" si="141"/>
        <v>0</v>
      </c>
    </row>
    <row r="965" spans="1:17" x14ac:dyDescent="0.45">
      <c r="A965">
        <v>4.7899999999999299</v>
      </c>
      <c r="B965">
        <f t="shared" si="137"/>
        <v>2.9999999975066083E-2</v>
      </c>
      <c r="C965">
        <f t="shared" si="138"/>
        <v>0.13000000002493392</v>
      </c>
      <c r="D965">
        <f t="shared" si="139"/>
        <v>8.0000000006649044E-2</v>
      </c>
      <c r="E965">
        <f t="shared" si="136"/>
        <v>8.0000000004094754E-2</v>
      </c>
      <c r="P965">
        <f t="shared" si="140"/>
        <v>0</v>
      </c>
      <c r="Q965">
        <f t="shared" si="141"/>
        <v>0</v>
      </c>
    </row>
    <row r="966" spans="1:17" x14ac:dyDescent="0.45">
      <c r="A966">
        <v>4.7949999999999298</v>
      </c>
      <c r="B966">
        <f t="shared" si="137"/>
        <v>2.9999999975681702E-2</v>
      </c>
      <c r="C966">
        <f t="shared" si="138"/>
        <v>0.1300000000243183</v>
      </c>
      <c r="D966">
        <f t="shared" si="139"/>
        <v>8.0000000006484884E-2</v>
      </c>
      <c r="E966">
        <f t="shared" si="136"/>
        <v>8.0000000003485547E-2</v>
      </c>
      <c r="P966">
        <f t="shared" si="140"/>
        <v>0</v>
      </c>
      <c r="Q966">
        <f t="shared" si="141"/>
        <v>0</v>
      </c>
    </row>
    <row r="967" spans="1:17" x14ac:dyDescent="0.45">
      <c r="A967">
        <v>4.7999999999999297</v>
      </c>
      <c r="B967">
        <f t="shared" si="137"/>
        <v>2.9999999976282124E-2</v>
      </c>
      <c r="C967">
        <f t="shared" si="138"/>
        <v>0.13000000002371787</v>
      </c>
      <c r="D967">
        <f t="shared" si="139"/>
        <v>8.0000000006324762E-2</v>
      </c>
      <c r="E967">
        <f t="shared" ref="E967:E1030" si="142">P0-SIGN(DeltaThetaDeg)*EXP(-Xi*Wn*A967)*(COS(Wd*A967)-(Xi*Wn-1)/(Wd)*SIN(Wd*A967))*Ppeak</f>
        <v>8.0000000002901459E-2</v>
      </c>
      <c r="P967">
        <f t="shared" si="140"/>
        <v>0</v>
      </c>
      <c r="Q967">
        <f t="shared" si="141"/>
        <v>0</v>
      </c>
    </row>
    <row r="968" spans="1:17" x14ac:dyDescent="0.45">
      <c r="A968">
        <v>4.8049999999999304</v>
      </c>
      <c r="B968">
        <f t="shared" si="137"/>
        <v>2.9999999976867725E-2</v>
      </c>
      <c r="C968">
        <f t="shared" si="138"/>
        <v>0.13000000002313228</v>
      </c>
      <c r="D968">
        <f t="shared" si="139"/>
        <v>8.0000000006168609E-2</v>
      </c>
      <c r="E968">
        <f t="shared" si="142"/>
        <v>8.0000000002342031E-2</v>
      </c>
      <c r="P968">
        <f t="shared" si="140"/>
        <v>0</v>
      </c>
      <c r="Q968">
        <f t="shared" si="141"/>
        <v>0</v>
      </c>
    </row>
    <row r="969" spans="1:17" x14ac:dyDescent="0.45">
      <c r="A969">
        <v>4.8099999999999303</v>
      </c>
      <c r="B969">
        <f t="shared" ref="B969:B1032" si="143">P0-Ppeak*(1+Marge_haute)*EXP(-Sigma*A967)-Tunnel</f>
        <v>2.9999999977438851E-2</v>
      </c>
      <c r="C969">
        <f t="shared" ref="C969:C1032" si="144">P0+Ppeak*(1+Marge_haute)*EXP(-Sigma*A967)+Tunnel</f>
        <v>0.13000000002256115</v>
      </c>
      <c r="D969">
        <f t="shared" ref="D969:D1032" si="145">P0-SIGN(DeltaThetaDeg)*Marge_basse*Ppeak*EXP(-Sigma*A967)</f>
        <v>8.00000000060163E-2</v>
      </c>
      <c r="E969">
        <f t="shared" si="142"/>
        <v>8.0000000001806792E-2</v>
      </c>
      <c r="P969">
        <f t="shared" si="140"/>
        <v>0</v>
      </c>
      <c r="Q969">
        <f t="shared" si="141"/>
        <v>0</v>
      </c>
    </row>
    <row r="970" spans="1:17" x14ac:dyDescent="0.45">
      <c r="A970">
        <v>4.8149999999999302</v>
      </c>
      <c r="B970">
        <f t="shared" si="143"/>
        <v>2.9999999977995892E-2</v>
      </c>
      <c r="C970">
        <f t="shared" si="144"/>
        <v>0.13000000002200413</v>
      </c>
      <c r="D970">
        <f t="shared" si="145"/>
        <v>8.0000000005867766E-2</v>
      </c>
      <c r="E970">
        <f t="shared" si="142"/>
        <v>8.0000000001295257E-2</v>
      </c>
      <c r="P970">
        <f t="shared" si="140"/>
        <v>0</v>
      </c>
      <c r="Q970">
        <f t="shared" si="141"/>
        <v>0</v>
      </c>
    </row>
    <row r="971" spans="1:17" x14ac:dyDescent="0.45">
      <c r="A971">
        <v>4.8199999999999301</v>
      </c>
      <c r="B971">
        <f t="shared" si="143"/>
        <v>2.999999997853918E-2</v>
      </c>
      <c r="C971">
        <f t="shared" si="144"/>
        <v>0.13000000002146084</v>
      </c>
      <c r="D971">
        <f t="shared" si="145"/>
        <v>8.0000000005722882E-2</v>
      </c>
      <c r="E971">
        <f t="shared" si="142"/>
        <v>8.0000000000806981E-2</v>
      </c>
      <c r="P971">
        <f t="shared" ref="P971:P1034" si="146">IF(EMT_simulation,N967,N971)</f>
        <v>0</v>
      </c>
      <c r="Q971">
        <f t="shared" ref="Q971:Q1034" si="147">IF(EMT_simulation,O967,O971)</f>
        <v>0</v>
      </c>
    </row>
    <row r="972" spans="1:17" x14ac:dyDescent="0.45">
      <c r="A972">
        <v>4.82499999999993</v>
      </c>
      <c r="B972">
        <f t="shared" si="143"/>
        <v>2.9999999979069047E-2</v>
      </c>
      <c r="C972">
        <f t="shared" si="144"/>
        <v>0.13000000002093096</v>
      </c>
      <c r="D972">
        <f t="shared" si="145"/>
        <v>8.0000000005581592E-2</v>
      </c>
      <c r="E972">
        <f t="shared" si="142"/>
        <v>8.0000000000341437E-2</v>
      </c>
      <c r="P972">
        <f t="shared" si="146"/>
        <v>0</v>
      </c>
      <c r="Q972">
        <f t="shared" si="147"/>
        <v>0</v>
      </c>
    </row>
    <row r="973" spans="1:17" x14ac:dyDescent="0.45">
      <c r="A973">
        <v>4.8299999999999201</v>
      </c>
      <c r="B973">
        <f t="shared" si="143"/>
        <v>2.9999999979585829E-2</v>
      </c>
      <c r="C973">
        <f t="shared" si="144"/>
        <v>0.13000000002041417</v>
      </c>
      <c r="D973">
        <f t="shared" si="145"/>
        <v>8.0000000005443772E-2</v>
      </c>
      <c r="E973">
        <f t="shared" si="142"/>
        <v>7.9999999999898153E-2</v>
      </c>
      <c r="P973">
        <f t="shared" si="146"/>
        <v>0</v>
      </c>
      <c r="Q973">
        <f t="shared" si="147"/>
        <v>0</v>
      </c>
    </row>
    <row r="974" spans="1:17" x14ac:dyDescent="0.45">
      <c r="A974">
        <v>4.83499999999992</v>
      </c>
      <c r="B974">
        <f t="shared" si="143"/>
        <v>2.9999999980089856E-2</v>
      </c>
      <c r="C974">
        <f t="shared" si="144"/>
        <v>0.13000000001991013</v>
      </c>
      <c r="D974">
        <f t="shared" si="145"/>
        <v>8.0000000005309366E-2</v>
      </c>
      <c r="E974">
        <f t="shared" si="142"/>
        <v>7.9999999999476629E-2</v>
      </c>
      <c r="P974">
        <f t="shared" si="146"/>
        <v>0</v>
      </c>
      <c r="Q974">
        <f t="shared" si="147"/>
        <v>0</v>
      </c>
    </row>
    <row r="975" spans="1:17" x14ac:dyDescent="0.45">
      <c r="A975">
        <v>4.8399999999999199</v>
      </c>
      <c r="B975">
        <f t="shared" si="143"/>
        <v>2.9999999980581449E-2</v>
      </c>
      <c r="C975">
        <f t="shared" si="144"/>
        <v>0.13000000001941855</v>
      </c>
      <c r="D975">
        <f t="shared" si="145"/>
        <v>8.0000000005178276E-2</v>
      </c>
      <c r="E975">
        <f t="shared" si="142"/>
        <v>7.9999999999076352E-2</v>
      </c>
      <c r="P975">
        <f t="shared" si="146"/>
        <v>0</v>
      </c>
      <c r="Q975">
        <f t="shared" si="147"/>
        <v>0</v>
      </c>
    </row>
    <row r="976" spans="1:17" x14ac:dyDescent="0.45">
      <c r="A976">
        <v>4.8449999999999198</v>
      </c>
      <c r="B976">
        <f t="shared" si="143"/>
        <v>2.9999999981060885E-2</v>
      </c>
      <c r="C976">
        <f t="shared" si="144"/>
        <v>0.13000000001893913</v>
      </c>
      <c r="D976">
        <f t="shared" si="145"/>
        <v>8.0000000005050434E-2</v>
      </c>
      <c r="E976">
        <f t="shared" si="142"/>
        <v>7.9999999998696808E-2</v>
      </c>
      <c r="P976">
        <f t="shared" si="146"/>
        <v>0</v>
      </c>
      <c r="Q976">
        <f t="shared" si="147"/>
        <v>0</v>
      </c>
    </row>
    <row r="977" spans="1:17" x14ac:dyDescent="0.45">
      <c r="A977">
        <v>4.8499999999999197</v>
      </c>
      <c r="B977">
        <f t="shared" si="143"/>
        <v>2.9999999981528497E-2</v>
      </c>
      <c r="C977">
        <f t="shared" si="144"/>
        <v>0.13000000001847151</v>
      </c>
      <c r="D977">
        <f t="shared" si="145"/>
        <v>8.0000000004925728E-2</v>
      </c>
      <c r="E977">
        <f t="shared" si="142"/>
        <v>7.9999999998337498E-2</v>
      </c>
      <c r="P977">
        <f t="shared" si="146"/>
        <v>0</v>
      </c>
      <c r="Q977">
        <f t="shared" si="147"/>
        <v>0</v>
      </c>
    </row>
    <row r="978" spans="1:17" x14ac:dyDescent="0.45">
      <c r="A978">
        <v>4.8549999999999196</v>
      </c>
      <c r="B978">
        <f t="shared" si="143"/>
        <v>2.9999999981984563E-2</v>
      </c>
      <c r="C978">
        <f t="shared" si="144"/>
        <v>0.13000000001801543</v>
      </c>
      <c r="D978">
        <f t="shared" si="145"/>
        <v>8.0000000004804117E-2</v>
      </c>
      <c r="E978">
        <f t="shared" si="142"/>
        <v>7.9999999997997909E-2</v>
      </c>
      <c r="P978">
        <f t="shared" si="146"/>
        <v>0</v>
      </c>
      <c r="Q978">
        <f t="shared" si="147"/>
        <v>0</v>
      </c>
    </row>
    <row r="979" spans="1:17" x14ac:dyDescent="0.45">
      <c r="A979">
        <v>4.8599999999999204</v>
      </c>
      <c r="B979">
        <f t="shared" si="143"/>
        <v>2.999999998242936E-2</v>
      </c>
      <c r="C979">
        <f t="shared" si="144"/>
        <v>0.13000000001757064</v>
      </c>
      <c r="D979">
        <f t="shared" si="145"/>
        <v>8.0000000004685504E-2</v>
      </c>
      <c r="E979">
        <f t="shared" si="142"/>
        <v>7.9999999997677526E-2</v>
      </c>
      <c r="P979">
        <f t="shared" si="146"/>
        <v>0</v>
      </c>
      <c r="Q979">
        <f t="shared" si="147"/>
        <v>0</v>
      </c>
    </row>
    <row r="980" spans="1:17" x14ac:dyDescent="0.45">
      <c r="A980">
        <v>4.8649999999999203</v>
      </c>
      <c r="B980">
        <f t="shared" si="143"/>
        <v>2.9999999982863179E-2</v>
      </c>
      <c r="C980">
        <f t="shared" si="144"/>
        <v>0.13000000001713682</v>
      </c>
      <c r="D980">
        <f t="shared" si="145"/>
        <v>8.0000000004569818E-2</v>
      </c>
      <c r="E980">
        <f t="shared" si="142"/>
        <v>7.9999999997375837E-2</v>
      </c>
      <c r="P980">
        <f t="shared" si="146"/>
        <v>0</v>
      </c>
      <c r="Q980">
        <f t="shared" si="147"/>
        <v>0</v>
      </c>
    </row>
    <row r="981" spans="1:17" x14ac:dyDescent="0.45">
      <c r="A981">
        <v>4.8699999999999202</v>
      </c>
      <c r="B981">
        <f t="shared" si="143"/>
        <v>2.9999999983286299E-2</v>
      </c>
      <c r="C981">
        <f t="shared" si="144"/>
        <v>0.13000000001671369</v>
      </c>
      <c r="D981">
        <f t="shared" si="145"/>
        <v>8.0000000004456992E-2</v>
      </c>
      <c r="E981">
        <f t="shared" si="142"/>
        <v>7.9999999997092314E-2</v>
      </c>
      <c r="P981">
        <f t="shared" si="146"/>
        <v>0</v>
      </c>
      <c r="Q981">
        <f t="shared" si="147"/>
        <v>0</v>
      </c>
    </row>
    <row r="982" spans="1:17" x14ac:dyDescent="0.45">
      <c r="A982">
        <v>4.8749999999999201</v>
      </c>
      <c r="B982">
        <f t="shared" si="143"/>
        <v>2.9999999983698955E-2</v>
      </c>
      <c r="C982">
        <f t="shared" si="144"/>
        <v>0.13000000001630105</v>
      </c>
      <c r="D982">
        <f t="shared" si="145"/>
        <v>8.0000000004346941E-2</v>
      </c>
      <c r="E982">
        <f t="shared" si="142"/>
        <v>7.9999999996826471E-2</v>
      </c>
      <c r="P982">
        <f t="shared" si="146"/>
        <v>0</v>
      </c>
      <c r="Q982">
        <f t="shared" si="147"/>
        <v>0</v>
      </c>
    </row>
    <row r="983" spans="1:17" x14ac:dyDescent="0.45">
      <c r="A983">
        <v>4.87999999999992</v>
      </c>
      <c r="B983">
        <f t="shared" si="143"/>
        <v>2.9999999984101439E-2</v>
      </c>
      <c r="C983">
        <f t="shared" si="144"/>
        <v>0.13000000001589856</v>
      </c>
      <c r="D983">
        <f t="shared" si="145"/>
        <v>8.0000000004239624E-2</v>
      </c>
      <c r="E983">
        <f t="shared" si="142"/>
        <v>7.9999999996577767E-2</v>
      </c>
      <c r="P983">
        <f t="shared" si="146"/>
        <v>0</v>
      </c>
      <c r="Q983">
        <f t="shared" si="147"/>
        <v>0</v>
      </c>
    </row>
    <row r="984" spans="1:17" x14ac:dyDescent="0.45">
      <c r="A984">
        <v>4.8849999999999199</v>
      </c>
      <c r="B984">
        <f t="shared" si="143"/>
        <v>2.9999999984493972E-2</v>
      </c>
      <c r="C984">
        <f t="shared" si="144"/>
        <v>0.13000000001550605</v>
      </c>
      <c r="D984">
        <f t="shared" si="145"/>
        <v>8.0000000004134944E-2</v>
      </c>
      <c r="E984">
        <f t="shared" si="142"/>
        <v>7.9999999996345716E-2</v>
      </c>
      <c r="P984">
        <f t="shared" si="146"/>
        <v>0</v>
      </c>
      <c r="Q984">
        <f t="shared" si="147"/>
        <v>0</v>
      </c>
    </row>
    <row r="985" spans="1:17" x14ac:dyDescent="0.45">
      <c r="A985">
        <v>4.8899999999999197</v>
      </c>
      <c r="B985">
        <f t="shared" si="143"/>
        <v>2.9999999984876818E-2</v>
      </c>
      <c r="C985">
        <f t="shared" si="144"/>
        <v>0.13000000001512318</v>
      </c>
      <c r="D985">
        <f t="shared" si="145"/>
        <v>8.0000000004032845E-2</v>
      </c>
      <c r="E985">
        <f t="shared" si="142"/>
        <v>7.9999999996129806E-2</v>
      </c>
      <c r="P985">
        <f t="shared" si="146"/>
        <v>0</v>
      </c>
      <c r="Q985">
        <f t="shared" si="147"/>
        <v>0</v>
      </c>
    </row>
    <row r="986" spans="1:17" x14ac:dyDescent="0.45">
      <c r="A986">
        <v>4.8949999999999196</v>
      </c>
      <c r="B986">
        <f t="shared" si="143"/>
        <v>2.99999999852502E-2</v>
      </c>
      <c r="C986">
        <f t="shared" si="144"/>
        <v>0.13000000001474982</v>
      </c>
      <c r="D986">
        <f t="shared" si="145"/>
        <v>8.0000000003933286E-2</v>
      </c>
      <c r="E986">
        <f t="shared" si="142"/>
        <v>7.9999999995929535E-2</v>
      </c>
      <c r="P986">
        <f t="shared" si="146"/>
        <v>0</v>
      </c>
      <c r="Q986">
        <f t="shared" si="147"/>
        <v>0</v>
      </c>
    </row>
    <row r="987" spans="1:17" x14ac:dyDescent="0.45">
      <c r="A987">
        <v>4.8999999999999204</v>
      </c>
      <c r="B987">
        <f t="shared" si="143"/>
        <v>2.9999999985614381E-2</v>
      </c>
      <c r="C987">
        <f t="shared" si="144"/>
        <v>0.13000000001438561</v>
      </c>
      <c r="D987">
        <f t="shared" si="145"/>
        <v>8.0000000003836169E-2</v>
      </c>
      <c r="E987">
        <f t="shared" si="142"/>
        <v>7.9999999995744406E-2</v>
      </c>
      <c r="P987">
        <f t="shared" si="146"/>
        <v>0</v>
      </c>
      <c r="Q987">
        <f t="shared" si="147"/>
        <v>0</v>
      </c>
    </row>
    <row r="988" spans="1:17" x14ac:dyDescent="0.45">
      <c r="A988">
        <v>4.9049999999999203</v>
      </c>
      <c r="B988">
        <f t="shared" si="143"/>
        <v>2.9999999985969569E-2</v>
      </c>
      <c r="C988">
        <f t="shared" si="144"/>
        <v>0.13000000001403045</v>
      </c>
      <c r="D988">
        <f t="shared" si="145"/>
        <v>8.0000000003741453E-2</v>
      </c>
      <c r="E988">
        <f t="shared" si="142"/>
        <v>7.9999999995573931E-2</v>
      </c>
      <c r="P988">
        <f t="shared" si="146"/>
        <v>0</v>
      </c>
      <c r="Q988">
        <f t="shared" si="147"/>
        <v>0</v>
      </c>
    </row>
    <row r="989" spans="1:17" x14ac:dyDescent="0.45">
      <c r="A989">
        <v>4.9099999999999202</v>
      </c>
      <c r="B989">
        <f t="shared" si="143"/>
        <v>2.9999999986315973E-2</v>
      </c>
      <c r="C989">
        <f t="shared" si="144"/>
        <v>0.13000000001368403</v>
      </c>
      <c r="D989">
        <f t="shared" si="145"/>
        <v>8.0000000003649069E-2</v>
      </c>
      <c r="E989">
        <f t="shared" si="142"/>
        <v>7.9999999995417598E-2</v>
      </c>
      <c r="P989">
        <f t="shared" si="146"/>
        <v>0</v>
      </c>
      <c r="Q989">
        <f t="shared" si="147"/>
        <v>0</v>
      </c>
    </row>
    <row r="990" spans="1:17" x14ac:dyDescent="0.45">
      <c r="A990">
        <v>4.9149999999999201</v>
      </c>
      <c r="B990">
        <f t="shared" si="143"/>
        <v>2.9999999986653841E-2</v>
      </c>
      <c r="C990">
        <f t="shared" si="144"/>
        <v>0.13000000001334616</v>
      </c>
      <c r="D990">
        <f t="shared" si="145"/>
        <v>8.0000000003558974E-2</v>
      </c>
      <c r="E990">
        <f t="shared" si="142"/>
        <v>7.9999999995274948E-2</v>
      </c>
      <c r="P990">
        <f t="shared" si="146"/>
        <v>0</v>
      </c>
      <c r="Q990">
        <f t="shared" si="147"/>
        <v>0</v>
      </c>
    </row>
    <row r="991" spans="1:17" x14ac:dyDescent="0.45">
      <c r="A991">
        <v>4.91999999999992</v>
      </c>
      <c r="B991">
        <f t="shared" si="143"/>
        <v>2.9999999986983356E-2</v>
      </c>
      <c r="C991">
        <f t="shared" si="144"/>
        <v>0.13000000001301665</v>
      </c>
      <c r="D991">
        <f t="shared" si="145"/>
        <v>8.0000000003471114E-2</v>
      </c>
      <c r="E991">
        <f t="shared" si="142"/>
        <v>7.9999999995145482E-2</v>
      </c>
      <c r="P991">
        <f t="shared" si="146"/>
        <v>0</v>
      </c>
      <c r="Q991">
        <f t="shared" si="147"/>
        <v>0</v>
      </c>
    </row>
    <row r="992" spans="1:17" x14ac:dyDescent="0.45">
      <c r="A992">
        <v>4.9249999999999199</v>
      </c>
      <c r="B992">
        <f t="shared" si="143"/>
        <v>2.9999999987304737E-2</v>
      </c>
      <c r="C992">
        <f t="shared" si="144"/>
        <v>0.13000000001269527</v>
      </c>
      <c r="D992">
        <f t="shared" si="145"/>
        <v>8.0000000003385405E-2</v>
      </c>
      <c r="E992">
        <f t="shared" si="142"/>
        <v>7.9999999995028756E-2</v>
      </c>
      <c r="P992">
        <f t="shared" si="146"/>
        <v>0</v>
      </c>
      <c r="Q992">
        <f t="shared" si="147"/>
        <v>0</v>
      </c>
    </row>
    <row r="993" spans="1:17" x14ac:dyDescent="0.45">
      <c r="A993">
        <v>4.9299999999999198</v>
      </c>
      <c r="B993">
        <f t="shared" si="143"/>
        <v>2.9999999987618181E-2</v>
      </c>
      <c r="C993">
        <f t="shared" si="144"/>
        <v>0.13000000001238182</v>
      </c>
      <c r="D993">
        <f t="shared" si="145"/>
        <v>8.0000000003301819E-2</v>
      </c>
      <c r="E993">
        <f t="shared" si="142"/>
        <v>7.999999999492427E-2</v>
      </c>
      <c r="P993">
        <f t="shared" si="146"/>
        <v>0</v>
      </c>
      <c r="Q993">
        <f t="shared" si="147"/>
        <v>0</v>
      </c>
    </row>
    <row r="994" spans="1:17" x14ac:dyDescent="0.45">
      <c r="A994">
        <v>4.9349999999999197</v>
      </c>
      <c r="B994">
        <f t="shared" si="143"/>
        <v>2.9999999987923895E-2</v>
      </c>
      <c r="C994">
        <f t="shared" si="144"/>
        <v>0.13000000001207612</v>
      </c>
      <c r="D994">
        <f t="shared" si="145"/>
        <v>8.0000000003220301E-2</v>
      </c>
      <c r="E994">
        <f t="shared" si="142"/>
        <v>7.999999999483158E-2</v>
      </c>
      <c r="P994">
        <f t="shared" si="146"/>
        <v>0</v>
      </c>
      <c r="Q994">
        <f t="shared" si="147"/>
        <v>0</v>
      </c>
    </row>
    <row r="995" spans="1:17" x14ac:dyDescent="0.45">
      <c r="A995">
        <v>4.9399999999999196</v>
      </c>
      <c r="B995">
        <f t="shared" si="143"/>
        <v>2.9999999988222045E-2</v>
      </c>
      <c r="C995">
        <f t="shared" si="144"/>
        <v>0.13000000001177797</v>
      </c>
      <c r="D995">
        <f t="shared" si="145"/>
        <v>8.0000000003140781E-2</v>
      </c>
      <c r="E995">
        <f t="shared" si="142"/>
        <v>7.9999999994750243E-2</v>
      </c>
      <c r="P995">
        <f t="shared" si="146"/>
        <v>0</v>
      </c>
      <c r="Q995">
        <f t="shared" si="147"/>
        <v>0</v>
      </c>
    </row>
    <row r="996" spans="1:17" x14ac:dyDescent="0.45">
      <c r="A996">
        <v>4.9449999999999203</v>
      </c>
      <c r="B996">
        <f t="shared" si="143"/>
        <v>2.9999999988512854E-2</v>
      </c>
      <c r="C996">
        <f t="shared" si="144"/>
        <v>0.13000000001148715</v>
      </c>
      <c r="D996">
        <f t="shared" si="145"/>
        <v>8.0000000003063246E-2</v>
      </c>
      <c r="E996">
        <f t="shared" si="142"/>
        <v>7.9999999994679799E-2</v>
      </c>
      <c r="P996">
        <f t="shared" si="146"/>
        <v>0</v>
      </c>
      <c r="Q996">
        <f t="shared" si="147"/>
        <v>0</v>
      </c>
    </row>
    <row r="997" spans="1:17" x14ac:dyDescent="0.45">
      <c r="A997">
        <v>4.9499999999999202</v>
      </c>
      <c r="B997">
        <f t="shared" si="143"/>
        <v>2.9999999988796475E-2</v>
      </c>
      <c r="C997">
        <f t="shared" si="144"/>
        <v>0.13000000001120354</v>
      </c>
      <c r="D997">
        <f t="shared" si="145"/>
        <v>8.0000000002987612E-2</v>
      </c>
      <c r="E997">
        <f t="shared" si="142"/>
        <v>7.9999999994619805E-2</v>
      </c>
      <c r="P997">
        <f t="shared" si="146"/>
        <v>0</v>
      </c>
      <c r="Q997">
        <f t="shared" si="147"/>
        <v>0</v>
      </c>
    </row>
    <row r="998" spans="1:17" x14ac:dyDescent="0.45">
      <c r="A998">
        <v>4.9549999999999201</v>
      </c>
      <c r="B998">
        <f t="shared" si="143"/>
        <v>2.9999999989073087E-2</v>
      </c>
      <c r="C998">
        <f t="shared" si="144"/>
        <v>0.13000000001092693</v>
      </c>
      <c r="D998">
        <f t="shared" si="145"/>
        <v>8.0000000002913851E-2</v>
      </c>
      <c r="E998">
        <f t="shared" si="142"/>
        <v>7.9999999994569845E-2</v>
      </c>
      <c r="P998">
        <f t="shared" si="146"/>
        <v>0</v>
      </c>
      <c r="Q998">
        <f t="shared" si="147"/>
        <v>0</v>
      </c>
    </row>
    <row r="999" spans="1:17" x14ac:dyDescent="0.45">
      <c r="A999">
        <v>4.95999999999992</v>
      </c>
      <c r="B999">
        <f t="shared" si="143"/>
        <v>2.9999999989342871E-2</v>
      </c>
      <c r="C999">
        <f t="shared" si="144"/>
        <v>0.13000000001065715</v>
      </c>
      <c r="D999">
        <f t="shared" si="145"/>
        <v>8.0000000002841909E-2</v>
      </c>
      <c r="E999">
        <f t="shared" si="142"/>
        <v>7.9999999994529489E-2</v>
      </c>
      <c r="P999">
        <f t="shared" si="146"/>
        <v>0</v>
      </c>
      <c r="Q999">
        <f t="shared" si="147"/>
        <v>0</v>
      </c>
    </row>
    <row r="1000" spans="1:17" x14ac:dyDescent="0.45">
      <c r="A1000">
        <v>4.9649999999999199</v>
      </c>
      <c r="B1000">
        <f t="shared" si="143"/>
        <v>2.9999999989605994E-2</v>
      </c>
      <c r="C1000">
        <f t="shared" si="144"/>
        <v>0.13000000001039402</v>
      </c>
      <c r="D1000">
        <f t="shared" si="145"/>
        <v>8.0000000002771729E-2</v>
      </c>
      <c r="E1000">
        <f t="shared" si="142"/>
        <v>7.9999999994498319E-2</v>
      </c>
      <c r="P1000">
        <f t="shared" si="146"/>
        <v>0</v>
      </c>
      <c r="Q1000">
        <f t="shared" si="147"/>
        <v>0</v>
      </c>
    </row>
    <row r="1001" spans="1:17" x14ac:dyDescent="0.45">
      <c r="A1001">
        <v>4.9699999999999198</v>
      </c>
      <c r="B1001">
        <f t="shared" si="143"/>
        <v>2.9999999989862622E-2</v>
      </c>
      <c r="C1001">
        <f t="shared" si="144"/>
        <v>0.1300000000101374</v>
      </c>
      <c r="D1001">
        <f t="shared" si="145"/>
        <v>8.0000000002703298E-2</v>
      </c>
      <c r="E1001">
        <f t="shared" si="142"/>
        <v>7.9999999994475934E-2</v>
      </c>
      <c r="P1001">
        <f t="shared" si="146"/>
        <v>0</v>
      </c>
      <c r="Q1001">
        <f t="shared" si="147"/>
        <v>0</v>
      </c>
    </row>
    <row r="1002" spans="1:17" x14ac:dyDescent="0.45">
      <c r="A1002">
        <v>4.9749999999999197</v>
      </c>
      <c r="B1002">
        <f t="shared" si="143"/>
        <v>2.9999999990112922E-2</v>
      </c>
      <c r="C1002">
        <f t="shared" si="144"/>
        <v>0.1300000000098871</v>
      </c>
      <c r="D1002">
        <f t="shared" si="145"/>
        <v>8.0000000002636559E-2</v>
      </c>
      <c r="E1002">
        <f t="shared" si="142"/>
        <v>7.9999999994461946E-2</v>
      </c>
      <c r="P1002">
        <f t="shared" si="146"/>
        <v>0</v>
      </c>
      <c r="Q1002">
        <f t="shared" si="147"/>
        <v>0</v>
      </c>
    </row>
    <row r="1003" spans="1:17" x14ac:dyDescent="0.45">
      <c r="A1003">
        <v>4.9799999999999196</v>
      </c>
      <c r="B1003">
        <f t="shared" si="143"/>
        <v>2.9999999990357032E-2</v>
      </c>
      <c r="C1003">
        <f t="shared" si="144"/>
        <v>0.13000000000964296</v>
      </c>
      <c r="D1003">
        <f t="shared" si="145"/>
        <v>8.0000000002571459E-2</v>
      </c>
      <c r="E1003">
        <f t="shared" si="142"/>
        <v>7.9999999994455936E-2</v>
      </c>
      <c r="P1003">
        <f t="shared" si="146"/>
        <v>0</v>
      </c>
      <c r="Q1003">
        <f t="shared" si="147"/>
        <v>0</v>
      </c>
    </row>
    <row r="1004" spans="1:17" x14ac:dyDescent="0.45">
      <c r="A1004">
        <v>4.9849999999999204</v>
      </c>
      <c r="B1004">
        <f t="shared" si="143"/>
        <v>2.9999999990595119E-2</v>
      </c>
      <c r="C1004">
        <f t="shared" si="144"/>
        <v>0.13000000000940487</v>
      </c>
      <c r="D1004">
        <f t="shared" si="145"/>
        <v>8.0000000002507968E-2</v>
      </c>
      <c r="E1004">
        <f t="shared" si="142"/>
        <v>7.9999999994457532E-2</v>
      </c>
      <c r="P1004">
        <f t="shared" si="146"/>
        <v>0</v>
      </c>
      <c r="Q1004">
        <f t="shared" si="147"/>
        <v>0</v>
      </c>
    </row>
    <row r="1005" spans="1:17" x14ac:dyDescent="0.45">
      <c r="A1005">
        <v>4.9899999999999203</v>
      </c>
      <c r="B1005">
        <f t="shared" si="143"/>
        <v>2.9999999990827322E-2</v>
      </c>
      <c r="C1005">
        <f t="shared" si="144"/>
        <v>0.13000000000917267</v>
      </c>
      <c r="D1005">
        <f t="shared" si="145"/>
        <v>8.0000000002446045E-2</v>
      </c>
      <c r="E1005">
        <f t="shared" si="142"/>
        <v>7.9999999994466386E-2</v>
      </c>
      <c r="P1005">
        <f t="shared" si="146"/>
        <v>0</v>
      </c>
      <c r="Q1005">
        <f t="shared" si="147"/>
        <v>0</v>
      </c>
    </row>
    <row r="1006" spans="1:17" x14ac:dyDescent="0.45">
      <c r="A1006">
        <v>4.9949999999999202</v>
      </c>
      <c r="B1006">
        <f t="shared" si="143"/>
        <v>2.9999999991053794E-2</v>
      </c>
      <c r="C1006">
        <f t="shared" si="144"/>
        <v>0.13000000000894621</v>
      </c>
      <c r="D1006">
        <f t="shared" si="145"/>
        <v>8.0000000002385649E-2</v>
      </c>
      <c r="E1006">
        <f t="shared" si="142"/>
        <v>7.9999999994482096E-2</v>
      </c>
      <c r="P1006">
        <f t="shared" si="146"/>
        <v>0</v>
      </c>
      <c r="Q1006">
        <f t="shared" si="147"/>
        <v>0</v>
      </c>
    </row>
    <row r="1007" spans="1:17" x14ac:dyDescent="0.45">
      <c r="A1007">
        <v>4.9999999999999201</v>
      </c>
      <c r="B1007">
        <f t="shared" si="143"/>
        <v>2.9999999991274687E-2</v>
      </c>
      <c r="C1007">
        <f t="shared" si="144"/>
        <v>0.1300000000087253</v>
      </c>
      <c r="D1007">
        <f t="shared" si="145"/>
        <v>8.0000000002326752E-2</v>
      </c>
      <c r="E1007">
        <f t="shared" si="142"/>
        <v>7.9999999994504328E-2</v>
      </c>
      <c r="P1007">
        <f t="shared" si="146"/>
        <v>0</v>
      </c>
      <c r="Q1007">
        <f t="shared" si="147"/>
        <v>0</v>
      </c>
    </row>
    <row r="1008" spans="1:17" x14ac:dyDescent="0.45">
      <c r="A1008">
        <v>5.00499999999992</v>
      </c>
      <c r="B1008">
        <f t="shared" si="143"/>
        <v>2.9999999991490112E-2</v>
      </c>
      <c r="C1008">
        <f t="shared" si="144"/>
        <v>0.13000000000850989</v>
      </c>
      <c r="D1008">
        <f t="shared" si="145"/>
        <v>8.0000000002269311E-2</v>
      </c>
      <c r="E1008">
        <f t="shared" si="142"/>
        <v>7.9999999994532736E-2</v>
      </c>
      <c r="P1008">
        <f t="shared" si="146"/>
        <v>0</v>
      </c>
      <c r="Q1008">
        <f t="shared" si="147"/>
        <v>0</v>
      </c>
    </row>
    <row r="1009" spans="1:17" x14ac:dyDescent="0.45">
      <c r="A1009">
        <v>5.0099999999999199</v>
      </c>
      <c r="B1009">
        <f t="shared" si="143"/>
        <v>2.9999999991700221E-2</v>
      </c>
      <c r="C1009">
        <f t="shared" si="144"/>
        <v>0.13000000000829978</v>
      </c>
      <c r="D1009">
        <f t="shared" si="145"/>
        <v>8.0000000002213273E-2</v>
      </c>
      <c r="E1009">
        <f t="shared" si="142"/>
        <v>7.9999999994566959E-2</v>
      </c>
      <c r="P1009">
        <f t="shared" si="146"/>
        <v>0</v>
      </c>
      <c r="Q1009">
        <f t="shared" si="147"/>
        <v>0</v>
      </c>
    </row>
    <row r="1010" spans="1:17" x14ac:dyDescent="0.45">
      <c r="A1010">
        <v>5.0149999999999197</v>
      </c>
      <c r="B1010">
        <f t="shared" si="143"/>
        <v>2.9999999991905141E-2</v>
      </c>
      <c r="C1010">
        <f t="shared" si="144"/>
        <v>0.13000000000809486</v>
      </c>
      <c r="D1010">
        <f t="shared" si="145"/>
        <v>8.0000000002158636E-2</v>
      </c>
      <c r="E1010">
        <f t="shared" si="142"/>
        <v>7.9999999994606705E-2</v>
      </c>
      <c r="P1010">
        <f t="shared" si="146"/>
        <v>0</v>
      </c>
      <c r="Q1010">
        <f t="shared" si="147"/>
        <v>0</v>
      </c>
    </row>
    <row r="1011" spans="1:17" x14ac:dyDescent="0.45">
      <c r="A1011">
        <v>5.0199999999999196</v>
      </c>
      <c r="B1011">
        <f t="shared" si="143"/>
        <v>2.9999999992105009E-2</v>
      </c>
      <c r="C1011">
        <f t="shared" si="144"/>
        <v>0.13000000000789499</v>
      </c>
      <c r="D1011">
        <f t="shared" si="145"/>
        <v>8.0000000002105331E-2</v>
      </c>
      <c r="E1011">
        <f t="shared" si="142"/>
        <v>7.9999999994651613E-2</v>
      </c>
      <c r="P1011">
        <f t="shared" si="146"/>
        <v>0</v>
      </c>
      <c r="Q1011">
        <f t="shared" si="147"/>
        <v>0</v>
      </c>
    </row>
    <row r="1012" spans="1:17" x14ac:dyDescent="0.45">
      <c r="A1012">
        <v>5.0249999999999204</v>
      </c>
      <c r="B1012">
        <f t="shared" si="143"/>
        <v>2.9999999992299936E-2</v>
      </c>
      <c r="C1012">
        <f t="shared" si="144"/>
        <v>0.13000000000770007</v>
      </c>
      <c r="D1012">
        <f t="shared" si="145"/>
        <v>8.0000000002053359E-2</v>
      </c>
      <c r="E1012">
        <f t="shared" si="142"/>
        <v>7.9999999994701407E-2</v>
      </c>
      <c r="P1012">
        <f t="shared" si="146"/>
        <v>0</v>
      </c>
      <c r="Q1012">
        <f t="shared" si="147"/>
        <v>0</v>
      </c>
    </row>
    <row r="1013" spans="1:17" x14ac:dyDescent="0.45">
      <c r="A1013">
        <v>5.0299999999999203</v>
      </c>
      <c r="B1013">
        <f t="shared" si="143"/>
        <v>2.9999999992490048E-2</v>
      </c>
      <c r="C1013">
        <f t="shared" si="144"/>
        <v>0.13000000000750994</v>
      </c>
      <c r="D1013">
        <f t="shared" si="145"/>
        <v>8.000000000200265E-2</v>
      </c>
      <c r="E1013">
        <f t="shared" si="142"/>
        <v>7.9999999994755752E-2</v>
      </c>
      <c r="P1013">
        <f t="shared" si="146"/>
        <v>0</v>
      </c>
      <c r="Q1013">
        <f t="shared" si="147"/>
        <v>0</v>
      </c>
    </row>
    <row r="1014" spans="1:17" x14ac:dyDescent="0.45">
      <c r="A1014">
        <v>5.0349999999999202</v>
      </c>
      <c r="B1014">
        <f t="shared" si="143"/>
        <v>2.9999999992675469E-2</v>
      </c>
      <c r="C1014">
        <f t="shared" si="144"/>
        <v>0.13000000000732453</v>
      </c>
      <c r="D1014">
        <f t="shared" si="145"/>
        <v>8.0000000001953203E-2</v>
      </c>
      <c r="E1014">
        <f t="shared" si="142"/>
        <v>7.9999999994814386E-2</v>
      </c>
      <c r="P1014">
        <f t="shared" si="146"/>
        <v>0</v>
      </c>
      <c r="Q1014">
        <f t="shared" si="147"/>
        <v>0</v>
      </c>
    </row>
    <row r="1015" spans="1:17" x14ac:dyDescent="0.45">
      <c r="A1015">
        <v>5.0399999999999201</v>
      </c>
      <c r="B1015">
        <f t="shared" si="143"/>
        <v>2.999999999285631E-2</v>
      </c>
      <c r="C1015">
        <f t="shared" si="144"/>
        <v>0.13000000000714368</v>
      </c>
      <c r="D1015">
        <f t="shared" si="145"/>
        <v>8.0000000001904992E-2</v>
      </c>
      <c r="E1015">
        <f t="shared" si="142"/>
        <v>7.9999999994876989E-2</v>
      </c>
      <c r="P1015">
        <f t="shared" si="146"/>
        <v>0</v>
      </c>
      <c r="Q1015">
        <f t="shared" si="147"/>
        <v>0</v>
      </c>
    </row>
    <row r="1016" spans="1:17" x14ac:dyDescent="0.45">
      <c r="A1016">
        <v>5.04499999999992</v>
      </c>
      <c r="B1016">
        <f t="shared" si="143"/>
        <v>2.9999999993032697E-2</v>
      </c>
      <c r="C1016">
        <f t="shared" si="144"/>
        <v>0.13000000000696732</v>
      </c>
      <c r="D1016">
        <f t="shared" si="145"/>
        <v>8.0000000001857946E-2</v>
      </c>
      <c r="E1016">
        <f t="shared" si="142"/>
        <v>7.999999999494331E-2</v>
      </c>
      <c r="P1016">
        <f t="shared" si="146"/>
        <v>0</v>
      </c>
      <c r="Q1016">
        <f t="shared" si="147"/>
        <v>0</v>
      </c>
    </row>
    <row r="1017" spans="1:17" x14ac:dyDescent="0.45">
      <c r="A1017">
        <v>5.0499999999999199</v>
      </c>
      <c r="B1017">
        <f t="shared" si="143"/>
        <v>2.9999999993204712E-2</v>
      </c>
      <c r="C1017">
        <f t="shared" si="144"/>
        <v>0.13000000000679529</v>
      </c>
      <c r="D1017">
        <f t="shared" si="145"/>
        <v>8.000000000181208E-2</v>
      </c>
      <c r="E1017">
        <f t="shared" si="142"/>
        <v>7.9999999995013074E-2</v>
      </c>
      <c r="P1017">
        <f t="shared" si="146"/>
        <v>0</v>
      </c>
      <c r="Q1017">
        <f t="shared" si="147"/>
        <v>0</v>
      </c>
    </row>
    <row r="1018" spans="1:17" x14ac:dyDescent="0.45">
      <c r="A1018">
        <v>5.0549999999999198</v>
      </c>
      <c r="B1018">
        <f t="shared" si="143"/>
        <v>2.9999999993372495E-2</v>
      </c>
      <c r="C1018">
        <f t="shared" si="144"/>
        <v>0.13000000000662751</v>
      </c>
      <c r="D1018">
        <f t="shared" si="145"/>
        <v>8.0000000001767338E-2</v>
      </c>
      <c r="E1018">
        <f t="shared" si="142"/>
        <v>7.9999999995086016E-2</v>
      </c>
      <c r="P1018">
        <f t="shared" si="146"/>
        <v>0</v>
      </c>
      <c r="Q1018">
        <f t="shared" si="147"/>
        <v>0</v>
      </c>
    </row>
    <row r="1019" spans="1:17" x14ac:dyDescent="0.45">
      <c r="A1019">
        <v>5.0599999999999197</v>
      </c>
      <c r="B1019">
        <f t="shared" si="143"/>
        <v>2.9999999993536128E-2</v>
      </c>
      <c r="C1019">
        <f t="shared" si="144"/>
        <v>0.13000000000646389</v>
      </c>
      <c r="D1019">
        <f t="shared" si="145"/>
        <v>8.0000000001723706E-2</v>
      </c>
      <c r="E1019">
        <f t="shared" si="142"/>
        <v>7.9999999995161886E-2</v>
      </c>
      <c r="P1019">
        <f t="shared" si="146"/>
        <v>0</v>
      </c>
      <c r="Q1019">
        <f t="shared" si="147"/>
        <v>0</v>
      </c>
    </row>
    <row r="1020" spans="1:17" x14ac:dyDescent="0.45">
      <c r="A1020">
        <v>5.0649999999999196</v>
      </c>
      <c r="B1020">
        <f t="shared" si="143"/>
        <v>2.9999999993695722E-2</v>
      </c>
      <c r="C1020">
        <f t="shared" si="144"/>
        <v>0.13000000000630429</v>
      </c>
      <c r="D1020">
        <f t="shared" si="145"/>
        <v>8.0000000001681143E-2</v>
      </c>
      <c r="E1020">
        <f t="shared" si="142"/>
        <v>7.9999999995240448E-2</v>
      </c>
      <c r="P1020">
        <f t="shared" si="146"/>
        <v>0</v>
      </c>
      <c r="Q1020">
        <f t="shared" si="147"/>
        <v>0</v>
      </c>
    </row>
    <row r="1021" spans="1:17" x14ac:dyDescent="0.45">
      <c r="A1021">
        <v>5.0699999999999203</v>
      </c>
      <c r="B1021">
        <f t="shared" si="143"/>
        <v>2.9999999993851376E-2</v>
      </c>
      <c r="C1021">
        <f t="shared" si="144"/>
        <v>0.13000000000614864</v>
      </c>
      <c r="D1021">
        <f t="shared" si="145"/>
        <v>8.0000000001639635E-2</v>
      </c>
      <c r="E1021">
        <f t="shared" si="142"/>
        <v>7.9999999995321452E-2</v>
      </c>
      <c r="P1021">
        <f t="shared" si="146"/>
        <v>0</v>
      </c>
      <c r="Q1021">
        <f t="shared" si="147"/>
        <v>0</v>
      </c>
    </row>
    <row r="1022" spans="1:17" x14ac:dyDescent="0.45">
      <c r="A1022">
        <v>5.0749999999999202</v>
      </c>
      <c r="B1022">
        <f t="shared" si="143"/>
        <v>2.9999999994003185E-2</v>
      </c>
      <c r="C1022">
        <f t="shared" si="144"/>
        <v>0.13000000000599682</v>
      </c>
      <c r="D1022">
        <f t="shared" si="145"/>
        <v>8.0000000001599153E-2</v>
      </c>
      <c r="E1022">
        <f t="shared" si="142"/>
        <v>7.9999999995404678E-2</v>
      </c>
      <c r="P1022">
        <f t="shared" si="146"/>
        <v>0</v>
      </c>
      <c r="Q1022">
        <f t="shared" si="147"/>
        <v>0</v>
      </c>
    </row>
    <row r="1023" spans="1:17" x14ac:dyDescent="0.45">
      <c r="A1023">
        <v>5.0799999999999201</v>
      </c>
      <c r="B1023">
        <f t="shared" si="143"/>
        <v>2.9999999994151247E-2</v>
      </c>
      <c r="C1023">
        <f t="shared" si="144"/>
        <v>0.13000000000584877</v>
      </c>
      <c r="D1023">
        <f t="shared" si="145"/>
        <v>8.0000000001559671E-2</v>
      </c>
      <c r="E1023">
        <f t="shared" si="142"/>
        <v>7.9999999995489915E-2</v>
      </c>
      <c r="P1023">
        <f t="shared" si="146"/>
        <v>0</v>
      </c>
      <c r="Q1023">
        <f t="shared" si="147"/>
        <v>0</v>
      </c>
    </row>
    <row r="1024" spans="1:17" x14ac:dyDescent="0.45">
      <c r="A1024">
        <v>5.08499999999992</v>
      </c>
      <c r="B1024">
        <f t="shared" si="143"/>
        <v>2.9999999994295645E-2</v>
      </c>
      <c r="C1024">
        <f t="shared" si="144"/>
        <v>0.13000000000570436</v>
      </c>
      <c r="D1024">
        <f t="shared" si="145"/>
        <v>8.000000000152116E-2</v>
      </c>
      <c r="E1024">
        <f t="shared" si="142"/>
        <v>7.9999999995576956E-2</v>
      </c>
      <c r="P1024">
        <f t="shared" si="146"/>
        <v>0</v>
      </c>
      <c r="Q1024">
        <f t="shared" si="147"/>
        <v>0</v>
      </c>
    </row>
    <row r="1025" spans="1:17" x14ac:dyDescent="0.45">
      <c r="A1025">
        <v>5.0899999999999199</v>
      </c>
      <c r="B1025">
        <f t="shared" si="143"/>
        <v>2.9999999994436491E-2</v>
      </c>
      <c r="C1025">
        <f t="shared" si="144"/>
        <v>0.1300000000055635</v>
      </c>
      <c r="D1025">
        <f t="shared" si="145"/>
        <v>8.0000000001483607E-2</v>
      </c>
      <c r="E1025">
        <f t="shared" si="142"/>
        <v>7.999999999566558E-2</v>
      </c>
      <c r="P1025">
        <f t="shared" si="146"/>
        <v>0</v>
      </c>
      <c r="Q1025">
        <f t="shared" si="147"/>
        <v>0</v>
      </c>
    </row>
    <row r="1026" spans="1:17" x14ac:dyDescent="0.45">
      <c r="A1026">
        <v>5.0949999999999198</v>
      </c>
      <c r="B1026">
        <f t="shared" si="143"/>
        <v>2.9999999994573853E-2</v>
      </c>
      <c r="C1026">
        <f t="shared" si="144"/>
        <v>0.13000000000542616</v>
      </c>
      <c r="D1026">
        <f t="shared" si="145"/>
        <v>8.0000000001446969E-2</v>
      </c>
      <c r="E1026">
        <f t="shared" si="142"/>
        <v>7.9999999995755619E-2</v>
      </c>
      <c r="P1026">
        <f t="shared" si="146"/>
        <v>0</v>
      </c>
      <c r="Q1026">
        <f t="shared" si="147"/>
        <v>0</v>
      </c>
    </row>
    <row r="1027" spans="1:17" x14ac:dyDescent="0.45">
      <c r="A1027">
        <v>5.0999999999999197</v>
      </c>
      <c r="B1027">
        <f t="shared" si="143"/>
        <v>2.9999999994707829E-2</v>
      </c>
      <c r="C1027">
        <f t="shared" si="144"/>
        <v>0.13000000000529216</v>
      </c>
      <c r="D1027">
        <f t="shared" si="145"/>
        <v>8.0000000001411248E-2</v>
      </c>
      <c r="E1027">
        <f t="shared" si="142"/>
        <v>7.9999999995846852E-2</v>
      </c>
      <c r="P1027">
        <f t="shared" si="146"/>
        <v>0</v>
      </c>
      <c r="Q1027">
        <f t="shared" si="147"/>
        <v>0</v>
      </c>
    </row>
    <row r="1028" spans="1:17" x14ac:dyDescent="0.45">
      <c r="A1028">
        <v>5.1049999999999196</v>
      </c>
      <c r="B1028">
        <f t="shared" si="143"/>
        <v>2.9999999994838489E-2</v>
      </c>
      <c r="C1028">
        <f t="shared" si="144"/>
        <v>0.13000000000516151</v>
      </c>
      <c r="D1028">
        <f t="shared" si="145"/>
        <v>8.0000000001376401E-2</v>
      </c>
      <c r="E1028">
        <f t="shared" si="142"/>
        <v>7.9999999995939125E-2</v>
      </c>
      <c r="P1028">
        <f t="shared" si="146"/>
        <v>0</v>
      </c>
      <c r="Q1028">
        <f t="shared" si="147"/>
        <v>0</v>
      </c>
    </row>
    <row r="1029" spans="1:17" x14ac:dyDescent="0.45">
      <c r="A1029">
        <v>5.1099999999999204</v>
      </c>
      <c r="B1029">
        <f t="shared" si="143"/>
        <v>2.9999999994965929E-2</v>
      </c>
      <c r="C1029">
        <f t="shared" si="144"/>
        <v>0.13000000000503409</v>
      </c>
      <c r="D1029">
        <f t="shared" si="145"/>
        <v>8.0000000001342414E-2</v>
      </c>
      <c r="E1029">
        <f t="shared" si="142"/>
        <v>7.9999999996032259E-2</v>
      </c>
      <c r="P1029">
        <f t="shared" si="146"/>
        <v>0</v>
      </c>
      <c r="Q1029">
        <f t="shared" si="147"/>
        <v>0</v>
      </c>
    </row>
    <row r="1030" spans="1:17" x14ac:dyDescent="0.45">
      <c r="A1030">
        <v>5.1149999999999203</v>
      </c>
      <c r="B1030">
        <f t="shared" si="143"/>
        <v>2.9999999995090218E-2</v>
      </c>
      <c r="C1030">
        <f t="shared" si="144"/>
        <v>0.1300000000049098</v>
      </c>
      <c r="D1030">
        <f t="shared" si="145"/>
        <v>8.0000000001309274E-2</v>
      </c>
      <c r="E1030">
        <f t="shared" si="142"/>
        <v>7.9999999996126087E-2</v>
      </c>
      <c r="P1030">
        <f t="shared" si="146"/>
        <v>0</v>
      </c>
      <c r="Q1030">
        <f t="shared" si="147"/>
        <v>0</v>
      </c>
    </row>
    <row r="1031" spans="1:17" x14ac:dyDescent="0.45">
      <c r="A1031">
        <v>5.1199999999999202</v>
      </c>
      <c r="B1031">
        <f t="shared" si="143"/>
        <v>2.999999999521144E-2</v>
      </c>
      <c r="C1031">
        <f t="shared" si="144"/>
        <v>0.13000000000478856</v>
      </c>
      <c r="D1031">
        <f t="shared" si="145"/>
        <v>8.0000000001276952E-2</v>
      </c>
      <c r="E1031">
        <f t="shared" ref="E1031:E1094" si="148">P0-SIGN(DeltaThetaDeg)*EXP(-Xi*Wn*A1031)*(COS(Wd*A1031)-(Xi*Wn-1)/(Wd)*SIN(Wd*A1031))*Ppeak</f>
        <v>7.9999999996220456E-2</v>
      </c>
      <c r="P1031">
        <f t="shared" si="146"/>
        <v>0</v>
      </c>
      <c r="Q1031">
        <f t="shared" si="147"/>
        <v>0</v>
      </c>
    </row>
    <row r="1032" spans="1:17" x14ac:dyDescent="0.45">
      <c r="A1032">
        <v>5.1249999999999201</v>
      </c>
      <c r="B1032">
        <f t="shared" si="143"/>
        <v>2.9999999995329679E-2</v>
      </c>
      <c r="C1032">
        <f t="shared" si="144"/>
        <v>0.13000000000467032</v>
      </c>
      <c r="D1032">
        <f t="shared" si="145"/>
        <v>8.0000000001245422E-2</v>
      </c>
      <c r="E1032">
        <f t="shared" si="148"/>
        <v>7.9999999996315199E-2</v>
      </c>
      <c r="P1032">
        <f t="shared" si="146"/>
        <v>0</v>
      </c>
      <c r="Q1032">
        <f t="shared" si="147"/>
        <v>0</v>
      </c>
    </row>
    <row r="1033" spans="1:17" x14ac:dyDescent="0.45">
      <c r="A1033">
        <v>5.12999999999992</v>
      </c>
      <c r="B1033">
        <f t="shared" ref="B1033:B1096" si="149">P0-Ppeak*(1+Marge_haute)*EXP(-Sigma*A1031)-Tunnel</f>
        <v>2.999999999544499E-2</v>
      </c>
      <c r="C1033">
        <f t="shared" ref="C1033:C1096" si="150">P0+Ppeak*(1+Marge_haute)*EXP(-Sigma*A1031)+Tunnel</f>
        <v>0.13000000000455503</v>
      </c>
      <c r="D1033">
        <f t="shared" ref="D1033:D1096" si="151">P0-SIGN(DeltaThetaDeg)*Marge_basse*Ppeak*EXP(-Sigma*A1031)</f>
        <v>8.0000000001214669E-2</v>
      </c>
      <c r="E1033">
        <f t="shared" si="148"/>
        <v>7.9999999996410207E-2</v>
      </c>
      <c r="P1033">
        <f t="shared" si="146"/>
        <v>0</v>
      </c>
      <c r="Q1033">
        <f t="shared" si="147"/>
        <v>0</v>
      </c>
    </row>
    <row r="1034" spans="1:17" x14ac:dyDescent="0.45">
      <c r="A1034">
        <v>5.1349999999999199</v>
      </c>
      <c r="B1034">
        <f t="shared" si="149"/>
        <v>2.9999999995557441E-2</v>
      </c>
      <c r="C1034">
        <f t="shared" si="150"/>
        <v>0.13000000000444256</v>
      </c>
      <c r="D1034">
        <f t="shared" si="151"/>
        <v>8.0000000001184679E-2</v>
      </c>
      <c r="E1034">
        <f t="shared" si="148"/>
        <v>7.9999999996505297E-2</v>
      </c>
      <c r="P1034">
        <f t="shared" si="146"/>
        <v>0</v>
      </c>
      <c r="Q1034">
        <f t="shared" si="147"/>
        <v>0</v>
      </c>
    </row>
    <row r="1035" spans="1:17" x14ac:dyDescent="0.45">
      <c r="A1035">
        <v>5.1399999999999197</v>
      </c>
      <c r="B1035">
        <f t="shared" si="149"/>
        <v>2.9999999995667131E-2</v>
      </c>
      <c r="C1035">
        <f t="shared" si="150"/>
        <v>0.13000000000433287</v>
      </c>
      <c r="D1035">
        <f t="shared" si="151"/>
        <v>8.0000000001155439E-2</v>
      </c>
      <c r="E1035">
        <f t="shared" si="148"/>
        <v>7.9999999996600374E-2</v>
      </c>
      <c r="P1035">
        <f t="shared" ref="P1035:P1098" si="152">IF(EMT_simulation,N1031,N1035)</f>
        <v>0</v>
      </c>
      <c r="Q1035">
        <f t="shared" ref="Q1035:Q1098" si="153">IF(EMT_simulation,O1031,O1035)</f>
        <v>0</v>
      </c>
    </row>
    <row r="1036" spans="1:17" x14ac:dyDescent="0.45">
      <c r="A1036">
        <v>5.1449999999999196</v>
      </c>
      <c r="B1036">
        <f t="shared" si="149"/>
        <v>2.9999999995774115E-2</v>
      </c>
      <c r="C1036">
        <f t="shared" si="150"/>
        <v>0.1300000000042259</v>
      </c>
      <c r="D1036">
        <f t="shared" si="151"/>
        <v>8.0000000001126906E-2</v>
      </c>
      <c r="E1036">
        <f t="shared" si="148"/>
        <v>7.9999999996695312E-2</v>
      </c>
      <c r="P1036">
        <f t="shared" si="152"/>
        <v>0</v>
      </c>
      <c r="Q1036">
        <f t="shared" si="153"/>
        <v>0</v>
      </c>
    </row>
    <row r="1037" spans="1:17" x14ac:dyDescent="0.45">
      <c r="A1037">
        <v>5.1499999999999204</v>
      </c>
      <c r="B1037">
        <f t="shared" si="149"/>
        <v>2.9999999995878449E-2</v>
      </c>
      <c r="C1037">
        <f t="shared" si="150"/>
        <v>0.13000000000412154</v>
      </c>
      <c r="D1037">
        <f t="shared" si="151"/>
        <v>8.0000000001099081E-2</v>
      </c>
      <c r="E1037">
        <f t="shared" si="148"/>
        <v>7.9999999996789958E-2</v>
      </c>
      <c r="P1037">
        <f t="shared" si="152"/>
        <v>0</v>
      </c>
      <c r="Q1037">
        <f t="shared" si="153"/>
        <v>0</v>
      </c>
    </row>
    <row r="1038" spans="1:17" x14ac:dyDescent="0.45">
      <c r="A1038">
        <v>5.1549999999999203</v>
      </c>
      <c r="B1038">
        <f t="shared" si="149"/>
        <v>2.9999999995980214E-2</v>
      </c>
      <c r="C1038">
        <f t="shared" si="150"/>
        <v>0.13000000000401979</v>
      </c>
      <c r="D1038">
        <f t="shared" si="151"/>
        <v>8.000000000107195E-2</v>
      </c>
      <c r="E1038">
        <f t="shared" si="148"/>
        <v>7.9999999996884244E-2</v>
      </c>
      <c r="P1038">
        <f t="shared" si="152"/>
        <v>0</v>
      </c>
      <c r="Q1038">
        <f t="shared" si="153"/>
        <v>0</v>
      </c>
    </row>
    <row r="1039" spans="1:17" x14ac:dyDescent="0.45">
      <c r="A1039">
        <v>5.1599999999999202</v>
      </c>
      <c r="B1039">
        <f t="shared" si="149"/>
        <v>2.9999999996079454E-2</v>
      </c>
      <c r="C1039">
        <f t="shared" si="150"/>
        <v>0.13000000000392054</v>
      </c>
      <c r="D1039">
        <f t="shared" si="151"/>
        <v>8.0000000001045485E-2</v>
      </c>
      <c r="E1039">
        <f t="shared" si="148"/>
        <v>7.9999999996978044E-2</v>
      </c>
      <c r="P1039">
        <f t="shared" si="152"/>
        <v>0</v>
      </c>
      <c r="Q1039">
        <f t="shared" si="153"/>
        <v>0</v>
      </c>
    </row>
    <row r="1040" spans="1:17" x14ac:dyDescent="0.45">
      <c r="A1040">
        <v>5.1649999999999201</v>
      </c>
      <c r="B1040">
        <f t="shared" si="149"/>
        <v>2.9999999996176266E-2</v>
      </c>
      <c r="C1040">
        <f t="shared" si="150"/>
        <v>0.13000000000382372</v>
      </c>
      <c r="D1040">
        <f t="shared" si="151"/>
        <v>8.0000000001019672E-2</v>
      </c>
      <c r="E1040">
        <f t="shared" si="148"/>
        <v>7.9999999997071247E-2</v>
      </c>
      <c r="P1040">
        <f t="shared" si="152"/>
        <v>0</v>
      </c>
      <c r="Q1040">
        <f t="shared" si="153"/>
        <v>0</v>
      </c>
    </row>
    <row r="1041" spans="1:17" x14ac:dyDescent="0.45">
      <c r="A1041">
        <v>5.16999999999992</v>
      </c>
      <c r="B1041">
        <f t="shared" si="149"/>
        <v>2.9999999996270663E-2</v>
      </c>
      <c r="C1041">
        <f t="shared" si="150"/>
        <v>0.13000000000372935</v>
      </c>
      <c r="D1041">
        <f t="shared" si="151"/>
        <v>8.0000000000994484E-2</v>
      </c>
      <c r="E1041">
        <f t="shared" si="148"/>
        <v>7.9999999997163784E-2</v>
      </c>
      <c r="P1041">
        <f t="shared" si="152"/>
        <v>0</v>
      </c>
      <c r="Q1041">
        <f t="shared" si="153"/>
        <v>0</v>
      </c>
    </row>
    <row r="1042" spans="1:17" x14ac:dyDescent="0.45">
      <c r="A1042">
        <v>5.1749999999999199</v>
      </c>
      <c r="B1042">
        <f t="shared" si="149"/>
        <v>2.9999999996362742E-2</v>
      </c>
      <c r="C1042">
        <f t="shared" si="150"/>
        <v>0.13000000000363726</v>
      </c>
      <c r="D1042">
        <f t="shared" si="151"/>
        <v>8.0000000000969934E-2</v>
      </c>
      <c r="E1042">
        <f t="shared" si="148"/>
        <v>7.9999999997255544E-2</v>
      </c>
      <c r="P1042">
        <f t="shared" si="152"/>
        <v>0</v>
      </c>
      <c r="Q1042">
        <f t="shared" si="153"/>
        <v>0</v>
      </c>
    </row>
    <row r="1043" spans="1:17" x14ac:dyDescent="0.45">
      <c r="A1043">
        <v>5.1799999999999198</v>
      </c>
      <c r="B1043">
        <f t="shared" si="149"/>
        <v>2.9999999996452545E-2</v>
      </c>
      <c r="C1043">
        <f t="shared" si="150"/>
        <v>0.13000000000354744</v>
      </c>
      <c r="D1043">
        <f t="shared" si="151"/>
        <v>8.0000000000945995E-2</v>
      </c>
      <c r="E1043">
        <f t="shared" si="148"/>
        <v>7.9999999997346444E-2</v>
      </c>
      <c r="P1043">
        <f t="shared" si="152"/>
        <v>0</v>
      </c>
      <c r="Q1043">
        <f t="shared" si="153"/>
        <v>0</v>
      </c>
    </row>
    <row r="1044" spans="1:17" x14ac:dyDescent="0.45">
      <c r="A1044">
        <v>5.1849999999999197</v>
      </c>
      <c r="B1044">
        <f t="shared" si="149"/>
        <v>2.9999999996540141E-2</v>
      </c>
      <c r="C1044">
        <f t="shared" si="150"/>
        <v>0.13000000000345985</v>
      </c>
      <c r="D1044">
        <f t="shared" si="151"/>
        <v>8.0000000000922639E-2</v>
      </c>
      <c r="E1044">
        <f t="shared" si="148"/>
        <v>7.9999999997436427E-2</v>
      </c>
      <c r="P1044">
        <f t="shared" si="152"/>
        <v>0</v>
      </c>
      <c r="Q1044">
        <f t="shared" si="153"/>
        <v>0</v>
      </c>
    </row>
    <row r="1045" spans="1:17" x14ac:dyDescent="0.45">
      <c r="A1045">
        <v>5.1899999999999196</v>
      </c>
      <c r="B1045">
        <f t="shared" si="149"/>
        <v>2.9999999996625559E-2</v>
      </c>
      <c r="C1045">
        <f t="shared" si="150"/>
        <v>0.13000000000337444</v>
      </c>
      <c r="D1045">
        <f t="shared" si="151"/>
        <v>8.0000000000899851E-2</v>
      </c>
      <c r="E1045">
        <f t="shared" si="148"/>
        <v>7.9999999997525398E-2</v>
      </c>
      <c r="P1045">
        <f t="shared" si="152"/>
        <v>0</v>
      </c>
      <c r="Q1045">
        <f t="shared" si="153"/>
        <v>0</v>
      </c>
    </row>
    <row r="1046" spans="1:17" x14ac:dyDescent="0.45">
      <c r="A1046">
        <v>5.1949999999999203</v>
      </c>
      <c r="B1046">
        <f t="shared" si="149"/>
        <v>2.9999999996708882E-2</v>
      </c>
      <c r="C1046">
        <f t="shared" si="150"/>
        <v>0.13000000000329112</v>
      </c>
      <c r="D1046">
        <f t="shared" si="151"/>
        <v>8.0000000000877633E-2</v>
      </c>
      <c r="E1046">
        <f t="shared" si="148"/>
        <v>7.99999999976133E-2</v>
      </c>
      <c r="P1046">
        <f t="shared" si="152"/>
        <v>0</v>
      </c>
      <c r="Q1046">
        <f t="shared" si="153"/>
        <v>0</v>
      </c>
    </row>
    <row r="1047" spans="1:17" x14ac:dyDescent="0.45">
      <c r="A1047">
        <v>5.1999999999999202</v>
      </c>
      <c r="B1047">
        <f t="shared" si="149"/>
        <v>2.9999999996790136E-2</v>
      </c>
      <c r="C1047">
        <f t="shared" si="150"/>
        <v>0.13000000000320988</v>
      </c>
      <c r="D1047">
        <f t="shared" si="151"/>
        <v>8.000000000085597E-2</v>
      </c>
      <c r="E1047">
        <f t="shared" si="148"/>
        <v>7.9999999997700064E-2</v>
      </c>
      <c r="P1047">
        <f t="shared" si="152"/>
        <v>0</v>
      </c>
      <c r="Q1047">
        <f t="shared" si="153"/>
        <v>0</v>
      </c>
    </row>
    <row r="1048" spans="1:17" x14ac:dyDescent="0.45">
      <c r="A1048">
        <v>5.2049999999999201</v>
      </c>
      <c r="B1048">
        <f t="shared" si="149"/>
        <v>2.9999999996869392E-2</v>
      </c>
      <c r="C1048">
        <f t="shared" si="150"/>
        <v>0.13000000000313061</v>
      </c>
      <c r="D1048">
        <f t="shared" si="151"/>
        <v>8.0000000000834834E-2</v>
      </c>
      <c r="E1048">
        <f t="shared" si="148"/>
        <v>7.9999999997785634E-2</v>
      </c>
      <c r="P1048">
        <f t="shared" si="152"/>
        <v>0</v>
      </c>
      <c r="Q1048">
        <f t="shared" si="153"/>
        <v>0</v>
      </c>
    </row>
    <row r="1049" spans="1:17" x14ac:dyDescent="0.45">
      <c r="A1049">
        <v>5.20999999999992</v>
      </c>
      <c r="B1049">
        <f t="shared" si="149"/>
        <v>2.9999999996946677E-2</v>
      </c>
      <c r="C1049">
        <f t="shared" si="150"/>
        <v>0.13000000000305334</v>
      </c>
      <c r="D1049">
        <f t="shared" si="151"/>
        <v>8.0000000000814225E-2</v>
      </c>
      <c r="E1049">
        <f t="shared" si="148"/>
        <v>7.9999999997869942E-2</v>
      </c>
      <c r="P1049">
        <f t="shared" si="152"/>
        <v>0</v>
      </c>
      <c r="Q1049">
        <f t="shared" si="153"/>
        <v>0</v>
      </c>
    </row>
    <row r="1050" spans="1:17" x14ac:dyDescent="0.45">
      <c r="A1050">
        <v>5.2149999999999199</v>
      </c>
      <c r="B1050">
        <f t="shared" si="149"/>
        <v>2.9999999997022062E-2</v>
      </c>
      <c r="C1050">
        <f t="shared" si="150"/>
        <v>0.13000000000297796</v>
      </c>
      <c r="D1050">
        <f t="shared" si="151"/>
        <v>8.0000000000794116E-2</v>
      </c>
      <c r="E1050">
        <f t="shared" si="148"/>
        <v>7.9999999997952972E-2</v>
      </c>
      <c r="P1050">
        <f t="shared" si="152"/>
        <v>0</v>
      </c>
      <c r="Q1050">
        <f t="shared" si="153"/>
        <v>0</v>
      </c>
    </row>
    <row r="1051" spans="1:17" x14ac:dyDescent="0.45">
      <c r="A1051">
        <v>5.2199999999999198</v>
      </c>
      <c r="B1051">
        <f t="shared" si="149"/>
        <v>2.9999999997095586E-2</v>
      </c>
      <c r="C1051">
        <f t="shared" si="150"/>
        <v>0.1300000000029044</v>
      </c>
      <c r="D1051">
        <f t="shared" si="151"/>
        <v>8.0000000000774507E-2</v>
      </c>
      <c r="E1051">
        <f t="shared" si="148"/>
        <v>7.9999999998034643E-2</v>
      </c>
      <c r="P1051">
        <f t="shared" si="152"/>
        <v>0</v>
      </c>
      <c r="Q1051">
        <f t="shared" si="153"/>
        <v>0</v>
      </c>
    </row>
    <row r="1052" spans="1:17" x14ac:dyDescent="0.45">
      <c r="A1052">
        <v>5.2249999999999197</v>
      </c>
      <c r="B1052">
        <f t="shared" si="149"/>
        <v>2.9999999997167306E-2</v>
      </c>
      <c r="C1052">
        <f t="shared" si="150"/>
        <v>0.13000000000283268</v>
      </c>
      <c r="D1052">
        <f t="shared" si="151"/>
        <v>8.0000000000755384E-2</v>
      </c>
      <c r="E1052">
        <f t="shared" si="148"/>
        <v>7.9999999998114912E-2</v>
      </c>
      <c r="P1052">
        <f t="shared" si="152"/>
        <v>0</v>
      </c>
      <c r="Q1052">
        <f t="shared" si="153"/>
        <v>0</v>
      </c>
    </row>
    <row r="1053" spans="1:17" x14ac:dyDescent="0.45">
      <c r="A1053">
        <v>5.2299999999999196</v>
      </c>
      <c r="B1053">
        <f t="shared" si="149"/>
        <v>2.9999999997237237E-2</v>
      </c>
      <c r="C1053">
        <f t="shared" si="150"/>
        <v>0.13000000000276277</v>
      </c>
      <c r="D1053">
        <f t="shared" si="151"/>
        <v>8.0000000000736732E-2</v>
      </c>
      <c r="E1053">
        <f t="shared" si="148"/>
        <v>7.999999999819378E-2</v>
      </c>
      <c r="P1053">
        <f t="shared" si="152"/>
        <v>0</v>
      </c>
      <c r="Q1053">
        <f t="shared" si="153"/>
        <v>0</v>
      </c>
    </row>
    <row r="1054" spans="1:17" x14ac:dyDescent="0.45">
      <c r="A1054">
        <v>5.2349999999999204</v>
      </c>
      <c r="B1054">
        <f t="shared" si="149"/>
        <v>2.999999999730546E-2</v>
      </c>
      <c r="C1054">
        <f t="shared" si="150"/>
        <v>0.13000000000269454</v>
      </c>
      <c r="D1054">
        <f t="shared" si="151"/>
        <v>8.0000000000718552E-2</v>
      </c>
      <c r="E1054">
        <f t="shared" si="148"/>
        <v>7.9999999998271162E-2</v>
      </c>
      <c r="P1054">
        <f t="shared" si="152"/>
        <v>0</v>
      </c>
      <c r="Q1054">
        <f t="shared" si="153"/>
        <v>0</v>
      </c>
    </row>
    <row r="1055" spans="1:17" x14ac:dyDescent="0.45">
      <c r="A1055">
        <v>5.2399999999999203</v>
      </c>
      <c r="B1055">
        <f t="shared" si="149"/>
        <v>2.999999999737199E-2</v>
      </c>
      <c r="C1055">
        <f t="shared" si="150"/>
        <v>0.13000000000262801</v>
      </c>
      <c r="D1055">
        <f t="shared" si="151"/>
        <v>8.0000000000700802E-2</v>
      </c>
      <c r="E1055">
        <f t="shared" si="148"/>
        <v>7.9999999998347074E-2</v>
      </c>
      <c r="P1055">
        <f t="shared" si="152"/>
        <v>0</v>
      </c>
      <c r="Q1055">
        <f t="shared" si="153"/>
        <v>0</v>
      </c>
    </row>
    <row r="1056" spans="1:17" x14ac:dyDescent="0.45">
      <c r="A1056">
        <v>5.2449999999999202</v>
      </c>
      <c r="B1056">
        <f t="shared" si="149"/>
        <v>2.9999999997436869E-2</v>
      </c>
      <c r="C1056">
        <f t="shared" si="150"/>
        <v>0.13000000000256312</v>
      </c>
      <c r="D1056">
        <f t="shared" si="151"/>
        <v>8.0000000000683497E-2</v>
      </c>
      <c r="E1056">
        <f t="shared" si="148"/>
        <v>7.9999999998421445E-2</v>
      </c>
      <c r="P1056">
        <f t="shared" si="152"/>
        <v>0</v>
      </c>
      <c r="Q1056">
        <f t="shared" si="153"/>
        <v>0</v>
      </c>
    </row>
    <row r="1057" spans="1:17" x14ac:dyDescent="0.45">
      <c r="A1057">
        <v>5.2499999999999201</v>
      </c>
      <c r="B1057">
        <f t="shared" si="149"/>
        <v>2.9999999997500151E-2</v>
      </c>
      <c r="C1057">
        <f t="shared" si="150"/>
        <v>0.13000000000249984</v>
      </c>
      <c r="D1057">
        <f t="shared" si="151"/>
        <v>8.0000000000666621E-2</v>
      </c>
      <c r="E1057">
        <f t="shared" si="148"/>
        <v>7.9999999998494289E-2</v>
      </c>
      <c r="P1057">
        <f t="shared" si="152"/>
        <v>0</v>
      </c>
      <c r="Q1057">
        <f t="shared" si="153"/>
        <v>0</v>
      </c>
    </row>
    <row r="1058" spans="1:17" x14ac:dyDescent="0.45">
      <c r="A1058">
        <v>5.25499999999992</v>
      </c>
      <c r="B1058">
        <f t="shared" si="149"/>
        <v>2.999999999756188E-2</v>
      </c>
      <c r="C1058">
        <f t="shared" si="150"/>
        <v>0.13000000000243811</v>
      </c>
      <c r="D1058">
        <f t="shared" si="151"/>
        <v>8.0000000000650162E-2</v>
      </c>
      <c r="E1058">
        <f t="shared" si="148"/>
        <v>7.9999999998565566E-2</v>
      </c>
      <c r="P1058">
        <f t="shared" si="152"/>
        <v>0</v>
      </c>
      <c r="Q1058">
        <f t="shared" si="153"/>
        <v>0</v>
      </c>
    </row>
    <row r="1059" spans="1:17" x14ac:dyDescent="0.45">
      <c r="A1059">
        <v>5.2599999999999199</v>
      </c>
      <c r="B1059">
        <f t="shared" si="149"/>
        <v>2.9999999997622068E-2</v>
      </c>
      <c r="C1059">
        <f t="shared" si="150"/>
        <v>0.13000000000237794</v>
      </c>
      <c r="D1059">
        <f t="shared" si="151"/>
        <v>8.0000000000634119E-2</v>
      </c>
      <c r="E1059">
        <f t="shared" si="148"/>
        <v>7.9999999998635246E-2</v>
      </c>
      <c r="P1059">
        <f t="shared" si="152"/>
        <v>0</v>
      </c>
      <c r="Q1059">
        <f t="shared" si="153"/>
        <v>0</v>
      </c>
    </row>
    <row r="1060" spans="1:17" x14ac:dyDescent="0.45">
      <c r="A1060">
        <v>5.2649999999999197</v>
      </c>
      <c r="B1060">
        <f t="shared" si="149"/>
        <v>2.9999999997680785E-2</v>
      </c>
      <c r="C1060">
        <f t="shared" si="150"/>
        <v>0.1300000000023192</v>
      </c>
      <c r="D1060">
        <f t="shared" si="151"/>
        <v>8.0000000000618465E-2</v>
      </c>
      <c r="E1060">
        <f t="shared" si="148"/>
        <v>7.9999999998703344E-2</v>
      </c>
      <c r="P1060">
        <f t="shared" si="152"/>
        <v>0</v>
      </c>
      <c r="Q1060">
        <f t="shared" si="153"/>
        <v>0</v>
      </c>
    </row>
    <row r="1061" spans="1:17" x14ac:dyDescent="0.45">
      <c r="A1061">
        <v>5.2699999999999196</v>
      </c>
      <c r="B1061">
        <f t="shared" si="149"/>
        <v>2.9999999997738044E-2</v>
      </c>
      <c r="C1061">
        <f t="shared" si="150"/>
        <v>0.13000000000226197</v>
      </c>
      <c r="D1061">
        <f t="shared" si="151"/>
        <v>8.0000000000603186E-2</v>
      </c>
      <c r="E1061">
        <f t="shared" si="148"/>
        <v>7.9999999998769819E-2</v>
      </c>
      <c r="P1061">
        <f t="shared" si="152"/>
        <v>0</v>
      </c>
      <c r="Q1061">
        <f t="shared" si="153"/>
        <v>0</v>
      </c>
    </row>
    <row r="1062" spans="1:17" x14ac:dyDescent="0.45">
      <c r="A1062">
        <v>5.2749999999999204</v>
      </c>
      <c r="B1062">
        <f t="shared" si="149"/>
        <v>2.9999999997793889E-2</v>
      </c>
      <c r="C1062">
        <f t="shared" si="150"/>
        <v>0.13000000000220613</v>
      </c>
      <c r="D1062">
        <f t="shared" si="151"/>
        <v>8.0000000000588295E-2</v>
      </c>
      <c r="E1062">
        <f t="shared" si="148"/>
        <v>7.9999999998834698E-2</v>
      </c>
      <c r="P1062">
        <f t="shared" si="152"/>
        <v>0</v>
      </c>
      <c r="Q1062">
        <f t="shared" si="153"/>
        <v>0</v>
      </c>
    </row>
    <row r="1063" spans="1:17" x14ac:dyDescent="0.45">
      <c r="A1063">
        <v>5.2799999999999203</v>
      </c>
      <c r="B1063">
        <f t="shared" si="149"/>
        <v>2.9999999997848359E-2</v>
      </c>
      <c r="C1063">
        <f t="shared" si="150"/>
        <v>0.13000000000215164</v>
      </c>
      <c r="D1063">
        <f t="shared" si="151"/>
        <v>8.0000000000573765E-2</v>
      </c>
      <c r="E1063">
        <f t="shared" si="148"/>
        <v>7.9999999998897925E-2</v>
      </c>
      <c r="P1063">
        <f t="shared" si="152"/>
        <v>0</v>
      </c>
      <c r="Q1063">
        <f t="shared" si="153"/>
        <v>0</v>
      </c>
    </row>
    <row r="1064" spans="1:17" x14ac:dyDescent="0.45">
      <c r="A1064">
        <v>5.2849999999999202</v>
      </c>
      <c r="B1064">
        <f t="shared" si="149"/>
        <v>2.9999999997901483E-2</v>
      </c>
      <c r="C1064">
        <f t="shared" si="150"/>
        <v>0.13000000000209852</v>
      </c>
      <c r="D1064">
        <f t="shared" si="151"/>
        <v>8.000000000055961E-2</v>
      </c>
      <c r="E1064">
        <f t="shared" si="148"/>
        <v>7.9999999998959542E-2</v>
      </c>
      <c r="P1064">
        <f t="shared" si="152"/>
        <v>0</v>
      </c>
      <c r="Q1064">
        <f t="shared" si="153"/>
        <v>0</v>
      </c>
    </row>
    <row r="1065" spans="1:17" x14ac:dyDescent="0.45">
      <c r="A1065">
        <v>5.2899999999999201</v>
      </c>
      <c r="B1065">
        <f t="shared" si="149"/>
        <v>2.9999999997953303E-2</v>
      </c>
      <c r="C1065">
        <f t="shared" si="150"/>
        <v>0.1300000000020467</v>
      </c>
      <c r="D1065">
        <f t="shared" si="151"/>
        <v>8.0000000000545787E-2</v>
      </c>
      <c r="E1065">
        <f t="shared" si="148"/>
        <v>7.9999999999019522E-2</v>
      </c>
      <c r="P1065">
        <f t="shared" si="152"/>
        <v>0</v>
      </c>
      <c r="Q1065">
        <f t="shared" si="153"/>
        <v>0</v>
      </c>
    </row>
    <row r="1066" spans="1:17" x14ac:dyDescent="0.45">
      <c r="A1066">
        <v>5.29499999999992</v>
      </c>
      <c r="B1066">
        <f t="shared" si="149"/>
        <v>2.9999999998003832E-2</v>
      </c>
      <c r="C1066">
        <f t="shared" si="150"/>
        <v>0.13000000000199619</v>
      </c>
      <c r="D1066">
        <f t="shared" si="151"/>
        <v>8.0000000000532312E-2</v>
      </c>
      <c r="E1066">
        <f t="shared" si="148"/>
        <v>7.9999999999077864E-2</v>
      </c>
      <c r="P1066">
        <f t="shared" si="152"/>
        <v>0</v>
      </c>
      <c r="Q1066">
        <f t="shared" si="153"/>
        <v>0</v>
      </c>
    </row>
    <row r="1067" spans="1:17" x14ac:dyDescent="0.45">
      <c r="A1067">
        <v>5.2999999999999101</v>
      </c>
      <c r="B1067">
        <f t="shared" si="149"/>
        <v>2.9999999998053112E-2</v>
      </c>
      <c r="C1067">
        <f t="shared" si="150"/>
        <v>0.13000000000194689</v>
      </c>
      <c r="D1067">
        <f t="shared" si="151"/>
        <v>8.000000000051917E-2</v>
      </c>
      <c r="E1067">
        <f t="shared" si="148"/>
        <v>7.9999999999134583E-2</v>
      </c>
      <c r="P1067">
        <f t="shared" si="152"/>
        <v>0</v>
      </c>
      <c r="Q1067">
        <f t="shared" si="153"/>
        <v>0</v>
      </c>
    </row>
    <row r="1068" spans="1:17" x14ac:dyDescent="0.45">
      <c r="A1068">
        <v>5.30499999999991</v>
      </c>
      <c r="B1068">
        <f t="shared" si="149"/>
        <v>2.9999999998101184E-2</v>
      </c>
      <c r="C1068">
        <f t="shared" si="150"/>
        <v>0.13000000000189882</v>
      </c>
      <c r="D1068">
        <f t="shared" si="151"/>
        <v>8.0000000000506347E-2</v>
      </c>
      <c r="E1068">
        <f t="shared" si="148"/>
        <v>7.9999999999189678E-2</v>
      </c>
      <c r="P1068">
        <f t="shared" si="152"/>
        <v>0</v>
      </c>
      <c r="Q1068">
        <f t="shared" si="153"/>
        <v>0</v>
      </c>
    </row>
    <row r="1069" spans="1:17" x14ac:dyDescent="0.45">
      <c r="A1069">
        <v>5.3099999999999099</v>
      </c>
      <c r="B1069">
        <f t="shared" si="149"/>
        <v>2.9999999998148064E-2</v>
      </c>
      <c r="C1069">
        <f t="shared" si="150"/>
        <v>0.13000000000185194</v>
      </c>
      <c r="D1069">
        <f t="shared" si="151"/>
        <v>8.0000000000493857E-2</v>
      </c>
      <c r="E1069">
        <f t="shared" si="148"/>
        <v>7.9999999999243163E-2</v>
      </c>
      <c r="P1069">
        <f t="shared" si="152"/>
        <v>0</v>
      </c>
      <c r="Q1069">
        <f t="shared" si="153"/>
        <v>0</v>
      </c>
    </row>
    <row r="1070" spans="1:17" x14ac:dyDescent="0.45">
      <c r="A1070">
        <v>5.3149999999999098</v>
      </c>
      <c r="B1070">
        <f t="shared" si="149"/>
        <v>2.9999999998193791E-2</v>
      </c>
      <c r="C1070">
        <f t="shared" si="150"/>
        <v>0.13000000000180623</v>
      </c>
      <c r="D1070">
        <f t="shared" si="151"/>
        <v>8.0000000000481658E-2</v>
      </c>
      <c r="E1070">
        <f t="shared" si="148"/>
        <v>7.9999999999295024E-2</v>
      </c>
      <c r="P1070">
        <f t="shared" si="152"/>
        <v>0</v>
      </c>
      <c r="Q1070">
        <f t="shared" si="153"/>
        <v>0</v>
      </c>
    </row>
    <row r="1071" spans="1:17" x14ac:dyDescent="0.45">
      <c r="A1071">
        <v>5.3199999999999097</v>
      </c>
      <c r="B1071">
        <f t="shared" si="149"/>
        <v>2.9999999998238394E-2</v>
      </c>
      <c r="C1071">
        <f t="shared" si="150"/>
        <v>0.1300000000017616</v>
      </c>
      <c r="D1071">
        <f t="shared" si="151"/>
        <v>8.0000000000469765E-2</v>
      </c>
      <c r="E1071">
        <f t="shared" si="148"/>
        <v>7.9999999999345303E-2</v>
      </c>
      <c r="P1071">
        <f t="shared" si="152"/>
        <v>0</v>
      </c>
      <c r="Q1071">
        <f t="shared" si="153"/>
        <v>0</v>
      </c>
    </row>
    <row r="1072" spans="1:17" x14ac:dyDescent="0.45">
      <c r="A1072">
        <v>5.3249999999999096</v>
      </c>
      <c r="B1072">
        <f t="shared" si="149"/>
        <v>2.9999999998281887E-2</v>
      </c>
      <c r="C1072">
        <f t="shared" si="150"/>
        <v>0.13000000000171813</v>
      </c>
      <c r="D1072">
        <f t="shared" si="151"/>
        <v>8.0000000000458163E-2</v>
      </c>
      <c r="E1072">
        <f t="shared" si="148"/>
        <v>7.9999999999393986E-2</v>
      </c>
      <c r="P1072">
        <f t="shared" si="152"/>
        <v>0</v>
      </c>
      <c r="Q1072">
        <f t="shared" si="153"/>
        <v>0</v>
      </c>
    </row>
    <row r="1073" spans="1:17" x14ac:dyDescent="0.45">
      <c r="A1073">
        <v>5.3299999999999104</v>
      </c>
      <c r="B1073">
        <f t="shared" si="149"/>
        <v>2.9999999998324298E-2</v>
      </c>
      <c r="C1073">
        <f t="shared" si="150"/>
        <v>0.13000000000167572</v>
      </c>
      <c r="D1073">
        <f t="shared" si="151"/>
        <v>8.0000000000446853E-2</v>
      </c>
      <c r="E1073">
        <f t="shared" si="148"/>
        <v>7.9999999999441088E-2</v>
      </c>
      <c r="P1073">
        <f t="shared" si="152"/>
        <v>0</v>
      </c>
      <c r="Q1073">
        <f t="shared" si="153"/>
        <v>0</v>
      </c>
    </row>
    <row r="1074" spans="1:17" x14ac:dyDescent="0.45">
      <c r="A1074">
        <v>5.3349999999999103</v>
      </c>
      <c r="B1074">
        <f t="shared" si="149"/>
        <v>2.9999999998365681E-2</v>
      </c>
      <c r="C1074">
        <f t="shared" si="150"/>
        <v>0.13000000000163431</v>
      </c>
      <c r="D1074">
        <f t="shared" si="151"/>
        <v>8.000000000043582E-2</v>
      </c>
      <c r="E1074">
        <f t="shared" si="148"/>
        <v>7.9999999999486635E-2</v>
      </c>
      <c r="P1074">
        <f t="shared" si="152"/>
        <v>0</v>
      </c>
      <c r="Q1074">
        <f t="shared" si="153"/>
        <v>0</v>
      </c>
    </row>
    <row r="1075" spans="1:17" x14ac:dyDescent="0.45">
      <c r="A1075">
        <v>5.3399999999999102</v>
      </c>
      <c r="B1075">
        <f t="shared" si="149"/>
        <v>2.9999999998406024E-2</v>
      </c>
      <c r="C1075">
        <f t="shared" si="150"/>
        <v>0.13000000000159398</v>
      </c>
      <c r="D1075">
        <f t="shared" si="151"/>
        <v>8.0000000000425064E-2</v>
      </c>
      <c r="E1075">
        <f t="shared" si="148"/>
        <v>7.9999999999530641E-2</v>
      </c>
      <c r="P1075">
        <f t="shared" si="152"/>
        <v>0</v>
      </c>
      <c r="Q1075">
        <f t="shared" si="153"/>
        <v>0</v>
      </c>
    </row>
    <row r="1076" spans="1:17" x14ac:dyDescent="0.45">
      <c r="A1076">
        <v>5.34499999999991</v>
      </c>
      <c r="B1076">
        <f t="shared" si="149"/>
        <v>2.9999999998445381E-2</v>
      </c>
      <c r="C1076">
        <f t="shared" si="150"/>
        <v>0.13000000000155462</v>
      </c>
      <c r="D1076">
        <f t="shared" si="151"/>
        <v>8.0000000000414573E-2</v>
      </c>
      <c r="E1076">
        <f t="shared" si="148"/>
        <v>7.9999999999573121E-2</v>
      </c>
      <c r="P1076">
        <f t="shared" si="152"/>
        <v>0</v>
      </c>
      <c r="Q1076">
        <f t="shared" si="153"/>
        <v>0</v>
      </c>
    </row>
    <row r="1077" spans="1:17" x14ac:dyDescent="0.45">
      <c r="A1077">
        <v>5.3499999999999099</v>
      </c>
      <c r="B1077">
        <f t="shared" si="149"/>
        <v>2.9999999998483767E-2</v>
      </c>
      <c r="C1077">
        <f t="shared" si="150"/>
        <v>0.13000000000151624</v>
      </c>
      <c r="D1077">
        <f t="shared" si="151"/>
        <v>8.0000000000404331E-2</v>
      </c>
      <c r="E1077">
        <f t="shared" si="148"/>
        <v>7.9999999999614088E-2</v>
      </c>
      <c r="P1077">
        <f t="shared" si="152"/>
        <v>0</v>
      </c>
      <c r="Q1077">
        <f t="shared" si="153"/>
        <v>0</v>
      </c>
    </row>
    <row r="1078" spans="1:17" x14ac:dyDescent="0.45">
      <c r="A1078">
        <v>5.3549999999999098</v>
      </c>
      <c r="B1078">
        <f t="shared" si="149"/>
        <v>2.9999999998521196E-2</v>
      </c>
      <c r="C1078">
        <f t="shared" si="150"/>
        <v>0.13000000000147882</v>
      </c>
      <c r="D1078">
        <f t="shared" si="151"/>
        <v>8.0000000000394353E-2</v>
      </c>
      <c r="E1078">
        <f t="shared" si="148"/>
        <v>7.999999999965357E-2</v>
      </c>
      <c r="P1078">
        <f t="shared" si="152"/>
        <v>0</v>
      </c>
      <c r="Q1078">
        <f t="shared" si="153"/>
        <v>0</v>
      </c>
    </row>
    <row r="1079" spans="1:17" x14ac:dyDescent="0.45">
      <c r="A1079">
        <v>5.3599999999999097</v>
      </c>
      <c r="B1079">
        <f t="shared" si="149"/>
        <v>2.9999999998557708E-2</v>
      </c>
      <c r="C1079">
        <f t="shared" si="150"/>
        <v>0.1300000000014423</v>
      </c>
      <c r="D1079">
        <f t="shared" si="151"/>
        <v>8.0000000000384611E-2</v>
      </c>
      <c r="E1079">
        <f t="shared" si="148"/>
        <v>7.9999999999691582E-2</v>
      </c>
      <c r="P1079">
        <f t="shared" si="152"/>
        <v>0</v>
      </c>
      <c r="Q1079">
        <f t="shared" si="153"/>
        <v>0</v>
      </c>
    </row>
    <row r="1080" spans="1:17" x14ac:dyDescent="0.45">
      <c r="A1080">
        <v>5.3649999999999096</v>
      </c>
      <c r="B1080">
        <f t="shared" si="149"/>
        <v>2.9999999998593319E-2</v>
      </c>
      <c r="C1080">
        <f t="shared" si="150"/>
        <v>0.13000000000140668</v>
      </c>
      <c r="D1080">
        <f t="shared" si="151"/>
        <v>8.0000000000375118E-2</v>
      </c>
      <c r="E1080">
        <f t="shared" si="148"/>
        <v>7.999999999972815E-2</v>
      </c>
      <c r="P1080">
        <f t="shared" si="152"/>
        <v>0</v>
      </c>
      <c r="Q1080">
        <f t="shared" si="153"/>
        <v>0</v>
      </c>
    </row>
    <row r="1081" spans="1:17" x14ac:dyDescent="0.45">
      <c r="A1081">
        <v>5.3699999999999104</v>
      </c>
      <c r="B1081">
        <f t="shared" si="149"/>
        <v>2.9999999998628055E-2</v>
      </c>
      <c r="C1081">
        <f t="shared" si="150"/>
        <v>0.13000000000137196</v>
      </c>
      <c r="D1081">
        <f t="shared" si="151"/>
        <v>8.0000000000365848E-2</v>
      </c>
      <c r="E1081">
        <f t="shared" si="148"/>
        <v>7.9999999999763288E-2</v>
      </c>
      <c r="P1081">
        <f t="shared" si="152"/>
        <v>0</v>
      </c>
      <c r="Q1081">
        <f t="shared" si="153"/>
        <v>0</v>
      </c>
    </row>
    <row r="1082" spans="1:17" x14ac:dyDescent="0.45">
      <c r="A1082">
        <v>5.3749999999999103</v>
      </c>
      <c r="B1082">
        <f t="shared" si="149"/>
        <v>2.999999999866193E-2</v>
      </c>
      <c r="C1082">
        <f t="shared" si="150"/>
        <v>0.13000000000133807</v>
      </c>
      <c r="D1082">
        <f t="shared" si="151"/>
        <v>8.0000000000356827E-2</v>
      </c>
      <c r="E1082">
        <f t="shared" si="148"/>
        <v>7.9999999999797039E-2</v>
      </c>
      <c r="P1082">
        <f t="shared" si="152"/>
        <v>0</v>
      </c>
      <c r="Q1082">
        <f t="shared" si="153"/>
        <v>0</v>
      </c>
    </row>
    <row r="1083" spans="1:17" x14ac:dyDescent="0.45">
      <c r="A1083">
        <v>5.3799999999999102</v>
      </c>
      <c r="B1083">
        <f t="shared" si="149"/>
        <v>2.9999999998694959E-2</v>
      </c>
      <c r="C1083">
        <f t="shared" si="150"/>
        <v>0.13000000000130504</v>
      </c>
      <c r="D1083">
        <f t="shared" si="151"/>
        <v>8.0000000000348015E-2</v>
      </c>
      <c r="E1083">
        <f t="shared" si="148"/>
        <v>7.9999999999829402E-2</v>
      </c>
      <c r="P1083">
        <f t="shared" si="152"/>
        <v>0</v>
      </c>
      <c r="Q1083">
        <f t="shared" si="153"/>
        <v>0</v>
      </c>
    </row>
    <row r="1084" spans="1:17" x14ac:dyDescent="0.45">
      <c r="A1084">
        <v>5.3849999999999101</v>
      </c>
      <c r="B1084">
        <f t="shared" si="149"/>
        <v>2.9999999998727184E-2</v>
      </c>
      <c r="C1084">
        <f t="shared" si="150"/>
        <v>0.13000000000127282</v>
      </c>
      <c r="D1084">
        <f t="shared" si="151"/>
        <v>8.0000000000339425E-2</v>
      </c>
      <c r="E1084">
        <f t="shared" si="148"/>
        <v>7.9999999999860405E-2</v>
      </c>
      <c r="P1084">
        <f t="shared" si="152"/>
        <v>0</v>
      </c>
      <c r="Q1084">
        <f t="shared" si="153"/>
        <v>0</v>
      </c>
    </row>
    <row r="1085" spans="1:17" x14ac:dyDescent="0.45">
      <c r="A1085">
        <v>5.38999999999991</v>
      </c>
      <c r="B1085">
        <f t="shared" si="149"/>
        <v>2.9999999998758617E-2</v>
      </c>
      <c r="C1085">
        <f t="shared" si="150"/>
        <v>0.1300000000012414</v>
      </c>
      <c r="D1085">
        <f t="shared" si="151"/>
        <v>8.0000000000331042E-2</v>
      </c>
      <c r="E1085">
        <f t="shared" si="148"/>
        <v>7.999999999989009E-2</v>
      </c>
      <c r="P1085">
        <f t="shared" si="152"/>
        <v>0</v>
      </c>
      <c r="Q1085">
        <f t="shared" si="153"/>
        <v>0</v>
      </c>
    </row>
    <row r="1086" spans="1:17" x14ac:dyDescent="0.45">
      <c r="A1086">
        <v>5.3949999999999099</v>
      </c>
      <c r="B1086">
        <f t="shared" si="149"/>
        <v>2.9999999998789259E-2</v>
      </c>
      <c r="C1086">
        <f t="shared" si="150"/>
        <v>0.13000000000121076</v>
      </c>
      <c r="D1086">
        <f t="shared" si="151"/>
        <v>8.0000000000322868E-2</v>
      </c>
      <c r="E1086">
        <f t="shared" si="148"/>
        <v>7.999999999991847E-2</v>
      </c>
      <c r="P1086">
        <f t="shared" si="152"/>
        <v>0</v>
      </c>
      <c r="Q1086">
        <f t="shared" si="153"/>
        <v>0</v>
      </c>
    </row>
    <row r="1087" spans="1:17" x14ac:dyDescent="0.45">
      <c r="A1087">
        <v>5.3999999999999098</v>
      </c>
      <c r="B1087">
        <f t="shared" si="149"/>
        <v>2.9999999998819152E-2</v>
      </c>
      <c r="C1087">
        <f t="shared" si="150"/>
        <v>0.13000000000118084</v>
      </c>
      <c r="D1087">
        <f t="shared" si="151"/>
        <v>8.0000000000314889E-2</v>
      </c>
      <c r="E1087">
        <f t="shared" si="148"/>
        <v>7.9999999999945573E-2</v>
      </c>
      <c r="P1087">
        <f t="shared" si="152"/>
        <v>0</v>
      </c>
      <c r="Q1087">
        <f t="shared" si="153"/>
        <v>0</v>
      </c>
    </row>
    <row r="1088" spans="1:17" x14ac:dyDescent="0.45">
      <c r="A1088">
        <v>5.4049999999999097</v>
      </c>
      <c r="B1088">
        <f t="shared" si="149"/>
        <v>2.9999999998848309E-2</v>
      </c>
      <c r="C1088">
        <f t="shared" si="150"/>
        <v>0.13000000000115169</v>
      </c>
      <c r="D1088">
        <f t="shared" si="151"/>
        <v>8.0000000000307117E-2</v>
      </c>
      <c r="E1088">
        <f t="shared" si="148"/>
        <v>7.9999999999971427E-2</v>
      </c>
      <c r="P1088">
        <f t="shared" si="152"/>
        <v>0</v>
      </c>
      <c r="Q1088">
        <f t="shared" si="153"/>
        <v>0</v>
      </c>
    </row>
    <row r="1089" spans="1:17" x14ac:dyDescent="0.45">
      <c r="A1089">
        <v>5.4099999999999104</v>
      </c>
      <c r="B1089">
        <f t="shared" si="149"/>
        <v>2.9999999998876745E-2</v>
      </c>
      <c r="C1089">
        <f t="shared" si="150"/>
        <v>0.13000000000112327</v>
      </c>
      <c r="D1089">
        <f t="shared" si="151"/>
        <v>8.000000000029954E-2</v>
      </c>
      <c r="E1089">
        <f t="shared" si="148"/>
        <v>7.9999999999996046E-2</v>
      </c>
      <c r="P1089">
        <f t="shared" si="152"/>
        <v>0</v>
      </c>
      <c r="Q1089">
        <f t="shared" si="153"/>
        <v>0</v>
      </c>
    </row>
    <row r="1090" spans="1:17" x14ac:dyDescent="0.45">
      <c r="A1090">
        <v>5.4149999999999103</v>
      </c>
      <c r="B1090">
        <f t="shared" si="149"/>
        <v>2.9999999998904472E-2</v>
      </c>
      <c r="C1090">
        <f t="shared" si="150"/>
        <v>0.13000000000109552</v>
      </c>
      <c r="D1090">
        <f t="shared" si="151"/>
        <v>8.0000000000292143E-2</v>
      </c>
      <c r="E1090">
        <f t="shared" si="148"/>
        <v>8.0000000000019486E-2</v>
      </c>
      <c r="P1090">
        <f t="shared" si="152"/>
        <v>0</v>
      </c>
      <c r="Q1090">
        <f t="shared" si="153"/>
        <v>0</v>
      </c>
    </row>
    <row r="1091" spans="1:17" x14ac:dyDescent="0.45">
      <c r="A1091">
        <v>5.4199999999999102</v>
      </c>
      <c r="B1091">
        <f t="shared" si="149"/>
        <v>2.9999999998931534E-2</v>
      </c>
      <c r="C1091">
        <f t="shared" si="150"/>
        <v>0.13000000000106848</v>
      </c>
      <c r="D1091">
        <f t="shared" si="151"/>
        <v>8.0000000000284927E-2</v>
      </c>
      <c r="E1091">
        <f t="shared" si="148"/>
        <v>8.0000000000041746E-2</v>
      </c>
      <c r="P1091">
        <f t="shared" si="152"/>
        <v>0</v>
      </c>
      <c r="Q1091">
        <f t="shared" si="153"/>
        <v>0</v>
      </c>
    </row>
    <row r="1092" spans="1:17" x14ac:dyDescent="0.45">
      <c r="A1092">
        <v>5.4249999999999101</v>
      </c>
      <c r="B1092">
        <f t="shared" si="149"/>
        <v>2.9999999998957902E-2</v>
      </c>
      <c r="C1092">
        <f t="shared" si="150"/>
        <v>0.13000000000104212</v>
      </c>
      <c r="D1092">
        <f t="shared" si="151"/>
        <v>8.000000000027789E-2</v>
      </c>
      <c r="E1092">
        <f t="shared" si="148"/>
        <v>8.0000000000062868E-2</v>
      </c>
      <c r="P1092">
        <f t="shared" si="152"/>
        <v>0</v>
      </c>
      <c r="Q1092">
        <f t="shared" si="153"/>
        <v>0</v>
      </c>
    </row>
    <row r="1093" spans="1:17" x14ac:dyDescent="0.45">
      <c r="A1093">
        <v>5.42999999999991</v>
      </c>
      <c r="B1093">
        <f t="shared" si="149"/>
        <v>2.9999999998983631E-2</v>
      </c>
      <c r="C1093">
        <f t="shared" si="150"/>
        <v>0.13000000000101636</v>
      </c>
      <c r="D1093">
        <f t="shared" si="151"/>
        <v>8.0000000000271035E-2</v>
      </c>
      <c r="E1093">
        <f t="shared" si="148"/>
        <v>8.000000000008288E-2</v>
      </c>
      <c r="P1093">
        <f t="shared" si="152"/>
        <v>0</v>
      </c>
      <c r="Q1093">
        <f t="shared" si="153"/>
        <v>0</v>
      </c>
    </row>
    <row r="1094" spans="1:17" x14ac:dyDescent="0.45">
      <c r="A1094">
        <v>5.4349999999999099</v>
      </c>
      <c r="B1094">
        <f t="shared" si="149"/>
        <v>2.9999999999008736E-2</v>
      </c>
      <c r="C1094">
        <f t="shared" si="150"/>
        <v>0.13000000000099127</v>
      </c>
      <c r="D1094">
        <f t="shared" si="151"/>
        <v>8.0000000000264346E-2</v>
      </c>
      <c r="E1094">
        <f t="shared" si="148"/>
        <v>8.0000000000101809E-2</v>
      </c>
      <c r="P1094">
        <f t="shared" si="152"/>
        <v>0</v>
      </c>
      <c r="Q1094">
        <f t="shared" si="153"/>
        <v>0</v>
      </c>
    </row>
    <row r="1095" spans="1:17" x14ac:dyDescent="0.45">
      <c r="A1095">
        <v>5.4399999999999098</v>
      </c>
      <c r="B1095">
        <f t="shared" si="149"/>
        <v>2.9999999999033203E-2</v>
      </c>
      <c r="C1095">
        <f t="shared" si="150"/>
        <v>0.13000000000096679</v>
      </c>
      <c r="D1095">
        <f t="shared" si="151"/>
        <v>8.0000000000257809E-2</v>
      </c>
      <c r="E1095">
        <f t="shared" ref="E1095:E1158" si="154">P0-SIGN(DeltaThetaDeg)*EXP(-Xi*Wn*A1095)*(COS(Wd*A1095)-(Xi*Wn-1)/(Wd)*SIN(Wd*A1095))*Ppeak</f>
        <v>8.000000000011967E-2</v>
      </c>
      <c r="P1095">
        <f t="shared" si="152"/>
        <v>0</v>
      </c>
      <c r="Q1095">
        <f t="shared" si="153"/>
        <v>0</v>
      </c>
    </row>
    <row r="1096" spans="1:17" x14ac:dyDescent="0.45">
      <c r="A1096">
        <v>5.4449999999999097</v>
      </c>
      <c r="B1096">
        <f t="shared" si="149"/>
        <v>2.9999999999057073E-2</v>
      </c>
      <c r="C1096">
        <f t="shared" si="150"/>
        <v>0.13000000000094292</v>
      </c>
      <c r="D1096">
        <f t="shared" si="151"/>
        <v>8.0000000000251453E-2</v>
      </c>
      <c r="E1096">
        <f t="shared" si="154"/>
        <v>8.0000000000136517E-2</v>
      </c>
      <c r="P1096">
        <f t="shared" si="152"/>
        <v>0</v>
      </c>
      <c r="Q1096">
        <f t="shared" si="153"/>
        <v>0</v>
      </c>
    </row>
    <row r="1097" spans="1:17" x14ac:dyDescent="0.45">
      <c r="A1097">
        <v>5.4499999999999096</v>
      </c>
      <c r="B1097">
        <f t="shared" ref="B1097:B1160" si="155">P0-Ppeak*(1+Marge_haute)*EXP(-Sigma*A1095)-Tunnel</f>
        <v>2.999999999908036E-2</v>
      </c>
      <c r="C1097">
        <f t="shared" ref="C1097:C1160" si="156">P0+Ppeak*(1+Marge_haute)*EXP(-Sigma*A1095)+Tunnel</f>
        <v>0.13000000000091966</v>
      </c>
      <c r="D1097">
        <f t="shared" ref="D1097:D1160" si="157">P0-SIGN(DeltaThetaDeg)*Marge_basse*Ppeak*EXP(-Sigma*A1095)</f>
        <v>8.0000000000245236E-2</v>
      </c>
      <c r="E1097">
        <f t="shared" si="154"/>
        <v>8.0000000000152352E-2</v>
      </c>
      <c r="P1097">
        <f t="shared" si="152"/>
        <v>0</v>
      </c>
      <c r="Q1097">
        <f t="shared" si="153"/>
        <v>0</v>
      </c>
    </row>
    <row r="1098" spans="1:17" x14ac:dyDescent="0.45">
      <c r="A1098">
        <v>5.4549999999999104</v>
      </c>
      <c r="B1098">
        <f t="shared" si="155"/>
        <v>2.9999999999103064E-2</v>
      </c>
      <c r="C1098">
        <f t="shared" si="156"/>
        <v>0.13000000000089695</v>
      </c>
      <c r="D1098">
        <f t="shared" si="157"/>
        <v>8.0000000000239185E-2</v>
      </c>
      <c r="E1098">
        <f t="shared" si="154"/>
        <v>8.0000000000167215E-2</v>
      </c>
      <c r="P1098">
        <f t="shared" si="152"/>
        <v>0</v>
      </c>
      <c r="Q1098">
        <f t="shared" si="153"/>
        <v>0</v>
      </c>
    </row>
    <row r="1099" spans="1:17" x14ac:dyDescent="0.45">
      <c r="A1099">
        <v>5.4599999999999103</v>
      </c>
      <c r="B1099">
        <f t="shared" si="155"/>
        <v>2.9999999999125213E-2</v>
      </c>
      <c r="C1099">
        <f t="shared" si="156"/>
        <v>0.1300000000008748</v>
      </c>
      <c r="D1099">
        <f t="shared" si="157"/>
        <v>8.0000000000233273E-2</v>
      </c>
      <c r="E1099">
        <f t="shared" si="154"/>
        <v>8.0000000000181135E-2</v>
      </c>
      <c r="P1099">
        <f t="shared" ref="P1099:P1162" si="158">IF(EMT_simulation,N1095,N1099)</f>
        <v>0</v>
      </c>
      <c r="Q1099">
        <f t="shared" ref="Q1099:Q1162" si="159">IF(EMT_simulation,O1095,O1099)</f>
        <v>0</v>
      </c>
    </row>
    <row r="1100" spans="1:17" x14ac:dyDescent="0.45">
      <c r="A1100">
        <v>5.4649999999999102</v>
      </c>
      <c r="B1100">
        <f t="shared" si="155"/>
        <v>2.9999999999146806E-2</v>
      </c>
      <c r="C1100">
        <f t="shared" si="156"/>
        <v>0.13000000000085321</v>
      </c>
      <c r="D1100">
        <f t="shared" si="157"/>
        <v>8.0000000000227514E-2</v>
      </c>
      <c r="E1100">
        <f t="shared" si="154"/>
        <v>8.0000000000194138E-2</v>
      </c>
      <c r="P1100">
        <f t="shared" si="158"/>
        <v>0</v>
      </c>
      <c r="Q1100">
        <f t="shared" si="159"/>
        <v>0</v>
      </c>
    </row>
    <row r="1101" spans="1:17" x14ac:dyDescent="0.45">
      <c r="A1101">
        <v>5.46999999999991</v>
      </c>
      <c r="B1101">
        <f t="shared" si="155"/>
        <v>2.9999999999167873E-2</v>
      </c>
      <c r="C1101">
        <f t="shared" si="156"/>
        <v>0.13000000000083212</v>
      </c>
      <c r="D1101">
        <f t="shared" si="157"/>
        <v>8.0000000000221907E-2</v>
      </c>
      <c r="E1101">
        <f t="shared" si="154"/>
        <v>8.0000000000206239E-2</v>
      </c>
      <c r="P1101">
        <f t="shared" si="158"/>
        <v>0</v>
      </c>
      <c r="Q1101">
        <f t="shared" si="159"/>
        <v>0</v>
      </c>
    </row>
    <row r="1102" spans="1:17" x14ac:dyDescent="0.45">
      <c r="A1102">
        <v>5.4749999999999099</v>
      </c>
      <c r="B1102">
        <f t="shared" si="155"/>
        <v>2.9999999999188412E-2</v>
      </c>
      <c r="C1102">
        <f t="shared" si="156"/>
        <v>0.13000000000081158</v>
      </c>
      <c r="D1102">
        <f t="shared" si="157"/>
        <v>8.0000000000216426E-2</v>
      </c>
      <c r="E1102">
        <f t="shared" si="154"/>
        <v>8.0000000000217494E-2</v>
      </c>
      <c r="P1102">
        <f t="shared" si="158"/>
        <v>0</v>
      </c>
      <c r="Q1102">
        <f t="shared" si="159"/>
        <v>0</v>
      </c>
    </row>
    <row r="1103" spans="1:17" x14ac:dyDescent="0.45">
      <c r="A1103">
        <v>5.4799999999999098</v>
      </c>
      <c r="B1103">
        <f t="shared" si="155"/>
        <v>2.9999999999208452E-2</v>
      </c>
      <c r="C1103">
        <f t="shared" si="156"/>
        <v>0.13000000000079154</v>
      </c>
      <c r="D1103">
        <f t="shared" si="157"/>
        <v>8.0000000000211083E-2</v>
      </c>
      <c r="E1103">
        <f t="shared" si="154"/>
        <v>8.0000000000227903E-2</v>
      </c>
      <c r="P1103">
        <f t="shared" si="158"/>
        <v>0</v>
      </c>
      <c r="Q1103">
        <f t="shared" si="159"/>
        <v>0</v>
      </c>
    </row>
    <row r="1104" spans="1:17" x14ac:dyDescent="0.45">
      <c r="A1104">
        <v>5.4849999999999097</v>
      </c>
      <c r="B1104">
        <f t="shared" si="155"/>
        <v>2.9999999999228005E-2</v>
      </c>
      <c r="C1104">
        <f t="shared" si="156"/>
        <v>0.130000000000772</v>
      </c>
      <c r="D1104">
        <f t="shared" si="157"/>
        <v>8.0000000000205865E-2</v>
      </c>
      <c r="E1104">
        <f t="shared" si="154"/>
        <v>8.0000000000237506E-2</v>
      </c>
      <c r="P1104">
        <f t="shared" si="158"/>
        <v>0</v>
      </c>
      <c r="Q1104">
        <f t="shared" si="159"/>
        <v>0</v>
      </c>
    </row>
    <row r="1105" spans="1:17" x14ac:dyDescent="0.45">
      <c r="A1105">
        <v>5.4899999999999096</v>
      </c>
      <c r="B1105">
        <f t="shared" si="155"/>
        <v>2.999999999924706E-2</v>
      </c>
      <c r="C1105">
        <f t="shared" si="156"/>
        <v>0.13000000000075296</v>
      </c>
      <c r="D1105">
        <f t="shared" si="157"/>
        <v>8.0000000000200785E-2</v>
      </c>
      <c r="E1105">
        <f t="shared" si="154"/>
        <v>8.0000000000246319E-2</v>
      </c>
      <c r="P1105">
        <f t="shared" si="158"/>
        <v>0</v>
      </c>
      <c r="Q1105">
        <f t="shared" si="159"/>
        <v>0</v>
      </c>
    </row>
    <row r="1106" spans="1:17" x14ac:dyDescent="0.45">
      <c r="A1106">
        <v>5.4949999999999104</v>
      </c>
      <c r="B1106">
        <f t="shared" si="155"/>
        <v>2.9999999999265656E-2</v>
      </c>
      <c r="C1106">
        <f t="shared" si="156"/>
        <v>0.13000000000073436</v>
      </c>
      <c r="D1106">
        <f t="shared" si="157"/>
        <v>8.0000000000195831E-2</v>
      </c>
      <c r="E1106">
        <f t="shared" si="154"/>
        <v>8.0000000000254395E-2</v>
      </c>
      <c r="P1106">
        <f t="shared" si="158"/>
        <v>0</v>
      </c>
      <c r="Q1106">
        <f t="shared" si="159"/>
        <v>0</v>
      </c>
    </row>
    <row r="1107" spans="1:17" x14ac:dyDescent="0.45">
      <c r="A1107">
        <v>5.4999999999999103</v>
      </c>
      <c r="B1107">
        <f t="shared" si="155"/>
        <v>2.999999999928378E-2</v>
      </c>
      <c r="C1107">
        <f t="shared" si="156"/>
        <v>0.13000000000071621</v>
      </c>
      <c r="D1107">
        <f t="shared" si="157"/>
        <v>8.0000000000190988E-2</v>
      </c>
      <c r="E1107">
        <f t="shared" si="154"/>
        <v>8.0000000000261723E-2</v>
      </c>
      <c r="P1107">
        <f t="shared" si="158"/>
        <v>0</v>
      </c>
      <c r="Q1107">
        <f t="shared" si="159"/>
        <v>0</v>
      </c>
    </row>
    <row r="1108" spans="1:17" x14ac:dyDescent="0.45">
      <c r="A1108">
        <v>5.5049999999999102</v>
      </c>
      <c r="B1108">
        <f t="shared" si="155"/>
        <v>2.999999999930146E-2</v>
      </c>
      <c r="C1108">
        <f t="shared" si="156"/>
        <v>0.13000000000069856</v>
      </c>
      <c r="D1108">
        <f t="shared" si="157"/>
        <v>8.0000000000186283E-2</v>
      </c>
      <c r="E1108">
        <f t="shared" si="154"/>
        <v>8.0000000000268356E-2</v>
      </c>
      <c r="P1108">
        <f t="shared" si="158"/>
        <v>0</v>
      </c>
      <c r="Q1108">
        <f t="shared" si="159"/>
        <v>0</v>
      </c>
    </row>
    <row r="1109" spans="1:17" x14ac:dyDescent="0.45">
      <c r="A1109">
        <v>5.5099999999999101</v>
      </c>
      <c r="B1109">
        <f t="shared" si="155"/>
        <v>2.9999999999318711E-2</v>
      </c>
      <c r="C1109">
        <f t="shared" si="156"/>
        <v>0.13000000000068129</v>
      </c>
      <c r="D1109">
        <f t="shared" si="157"/>
        <v>8.0000000000181676E-2</v>
      </c>
      <c r="E1109">
        <f t="shared" si="154"/>
        <v>8.000000000027431E-2</v>
      </c>
      <c r="P1109">
        <f t="shared" si="158"/>
        <v>0</v>
      </c>
      <c r="Q1109">
        <f t="shared" si="159"/>
        <v>0</v>
      </c>
    </row>
    <row r="1110" spans="1:17" x14ac:dyDescent="0.45">
      <c r="A1110">
        <v>5.51499999999991</v>
      </c>
      <c r="B1110">
        <f t="shared" si="155"/>
        <v>2.999999999933553E-2</v>
      </c>
      <c r="C1110">
        <f t="shared" si="156"/>
        <v>0.13000000000066447</v>
      </c>
      <c r="D1110">
        <f t="shared" si="157"/>
        <v>8.0000000000177193E-2</v>
      </c>
      <c r="E1110">
        <f t="shared" si="154"/>
        <v>8.0000000000279625E-2</v>
      </c>
      <c r="P1110">
        <f t="shared" si="158"/>
        <v>0</v>
      </c>
      <c r="Q1110">
        <f t="shared" si="159"/>
        <v>0</v>
      </c>
    </row>
    <row r="1111" spans="1:17" x14ac:dyDescent="0.45">
      <c r="A1111">
        <v>5.5199999999999099</v>
      </c>
      <c r="B1111">
        <f t="shared" si="155"/>
        <v>2.9999999999351934E-2</v>
      </c>
      <c r="C1111">
        <f t="shared" si="156"/>
        <v>0.13000000000064807</v>
      </c>
      <c r="D1111">
        <f t="shared" si="157"/>
        <v>8.0000000000172822E-2</v>
      </c>
      <c r="E1111">
        <f t="shared" si="154"/>
        <v>8.0000000000284288E-2</v>
      </c>
      <c r="P1111">
        <f t="shared" si="158"/>
        <v>0</v>
      </c>
      <c r="Q1111">
        <f t="shared" si="159"/>
        <v>0</v>
      </c>
    </row>
    <row r="1112" spans="1:17" x14ac:dyDescent="0.45">
      <c r="A1112">
        <v>5.5249999999999098</v>
      </c>
      <c r="B1112">
        <f t="shared" si="155"/>
        <v>2.9999999999367935E-2</v>
      </c>
      <c r="C1112">
        <f t="shared" si="156"/>
        <v>0.13000000000063205</v>
      </c>
      <c r="D1112">
        <f t="shared" si="157"/>
        <v>8.0000000000168547E-2</v>
      </c>
      <c r="E1112">
        <f t="shared" si="154"/>
        <v>8.0000000000288368E-2</v>
      </c>
      <c r="P1112">
        <f t="shared" si="158"/>
        <v>0</v>
      </c>
      <c r="Q1112">
        <f t="shared" si="159"/>
        <v>0</v>
      </c>
    </row>
    <row r="1113" spans="1:17" x14ac:dyDescent="0.45">
      <c r="A1113">
        <v>5.5299999999999097</v>
      </c>
      <c r="B1113">
        <f t="shared" si="155"/>
        <v>2.9999999999383548E-2</v>
      </c>
      <c r="C1113">
        <f t="shared" si="156"/>
        <v>0.13000000000061646</v>
      </c>
      <c r="D1113">
        <f t="shared" si="157"/>
        <v>8.0000000000164384E-2</v>
      </c>
      <c r="E1113">
        <f t="shared" si="154"/>
        <v>8.0000000000291852E-2</v>
      </c>
      <c r="P1113">
        <f t="shared" si="158"/>
        <v>0</v>
      </c>
      <c r="Q1113">
        <f t="shared" si="159"/>
        <v>0</v>
      </c>
    </row>
    <row r="1114" spans="1:17" x14ac:dyDescent="0.45">
      <c r="A1114">
        <v>5.5349999999999104</v>
      </c>
      <c r="B1114">
        <f t="shared" si="155"/>
        <v>2.9999999999398771E-2</v>
      </c>
      <c r="C1114">
        <f t="shared" si="156"/>
        <v>0.13000000000060125</v>
      </c>
      <c r="D1114">
        <f t="shared" si="157"/>
        <v>8.0000000000160332E-2</v>
      </c>
      <c r="E1114">
        <f t="shared" si="154"/>
        <v>8.0000000000294794E-2</v>
      </c>
      <c r="P1114">
        <f t="shared" si="158"/>
        <v>0</v>
      </c>
      <c r="Q1114">
        <f t="shared" si="159"/>
        <v>0</v>
      </c>
    </row>
    <row r="1115" spans="1:17" x14ac:dyDescent="0.45">
      <c r="A1115">
        <v>5.5399999999999103</v>
      </c>
      <c r="B1115">
        <f t="shared" si="155"/>
        <v>2.9999999999413607E-2</v>
      </c>
      <c r="C1115">
        <f t="shared" si="156"/>
        <v>0.1300000000005864</v>
      </c>
      <c r="D1115">
        <f t="shared" si="157"/>
        <v>8.0000000000156377E-2</v>
      </c>
      <c r="E1115">
        <f t="shared" si="154"/>
        <v>8.0000000000297194E-2</v>
      </c>
      <c r="P1115">
        <f t="shared" si="158"/>
        <v>0</v>
      </c>
      <c r="Q1115">
        <f t="shared" si="159"/>
        <v>0</v>
      </c>
    </row>
    <row r="1116" spans="1:17" x14ac:dyDescent="0.45">
      <c r="A1116">
        <v>5.5449999999999102</v>
      </c>
      <c r="B1116">
        <f t="shared" si="155"/>
        <v>2.9999999999428081E-2</v>
      </c>
      <c r="C1116">
        <f t="shared" si="156"/>
        <v>0.13000000000057194</v>
      </c>
      <c r="D1116">
        <f t="shared" si="157"/>
        <v>8.0000000000152505E-2</v>
      </c>
      <c r="E1116">
        <f t="shared" si="154"/>
        <v>8.0000000000299096E-2</v>
      </c>
      <c r="P1116">
        <f t="shared" si="158"/>
        <v>0</v>
      </c>
      <c r="Q1116">
        <f t="shared" si="159"/>
        <v>0</v>
      </c>
    </row>
    <row r="1117" spans="1:17" x14ac:dyDescent="0.45">
      <c r="A1117">
        <v>5.5499999999999101</v>
      </c>
      <c r="B1117">
        <f t="shared" si="155"/>
        <v>2.9999999999442209E-2</v>
      </c>
      <c r="C1117">
        <f t="shared" si="156"/>
        <v>0.13000000000055778</v>
      </c>
      <c r="D1117">
        <f t="shared" si="157"/>
        <v>8.0000000000148744E-2</v>
      </c>
      <c r="E1117">
        <f t="shared" si="154"/>
        <v>8.0000000000300497E-2</v>
      </c>
      <c r="P1117">
        <f t="shared" si="158"/>
        <v>0</v>
      </c>
      <c r="Q1117">
        <f t="shared" si="159"/>
        <v>0</v>
      </c>
    </row>
    <row r="1118" spans="1:17" x14ac:dyDescent="0.45">
      <c r="A1118">
        <v>5.55499999999991</v>
      </c>
      <c r="B1118">
        <f t="shared" si="155"/>
        <v>2.9999999999455976E-2</v>
      </c>
      <c r="C1118">
        <f t="shared" si="156"/>
        <v>0.13000000000054401</v>
      </c>
      <c r="D1118">
        <f t="shared" si="157"/>
        <v>8.000000000014508E-2</v>
      </c>
      <c r="E1118">
        <f t="shared" si="154"/>
        <v>8.0000000000301441E-2</v>
      </c>
      <c r="P1118">
        <f t="shared" si="158"/>
        <v>0</v>
      </c>
      <c r="Q1118">
        <f t="shared" si="159"/>
        <v>0</v>
      </c>
    </row>
    <row r="1119" spans="1:17" x14ac:dyDescent="0.45">
      <c r="A1119">
        <v>5.5599999999999099</v>
      </c>
      <c r="B1119">
        <f t="shared" si="155"/>
        <v>2.9999999999469409E-2</v>
      </c>
      <c r="C1119">
        <f t="shared" si="156"/>
        <v>0.13000000000053058</v>
      </c>
      <c r="D1119">
        <f t="shared" si="157"/>
        <v>8.0000000000141486E-2</v>
      </c>
      <c r="E1119">
        <f t="shared" si="154"/>
        <v>8.0000000000301941E-2</v>
      </c>
      <c r="P1119">
        <f t="shared" si="158"/>
        <v>0</v>
      </c>
      <c r="Q1119">
        <f t="shared" si="159"/>
        <v>0</v>
      </c>
    </row>
    <row r="1120" spans="1:17" x14ac:dyDescent="0.45">
      <c r="A1120">
        <v>5.5649999999999098</v>
      </c>
      <c r="B1120">
        <f t="shared" si="155"/>
        <v>2.999999999948251E-2</v>
      </c>
      <c r="C1120">
        <f t="shared" si="156"/>
        <v>0.13000000000051748</v>
      </c>
      <c r="D1120">
        <f t="shared" si="157"/>
        <v>8.0000000000138002E-2</v>
      </c>
      <c r="E1120">
        <f t="shared" si="154"/>
        <v>8.0000000000302024E-2</v>
      </c>
      <c r="P1120">
        <f t="shared" si="158"/>
        <v>0</v>
      </c>
      <c r="Q1120">
        <f t="shared" si="159"/>
        <v>0</v>
      </c>
    </row>
    <row r="1121" spans="1:17" x14ac:dyDescent="0.45">
      <c r="A1121">
        <v>5.5699999999999097</v>
      </c>
      <c r="B1121">
        <f t="shared" si="155"/>
        <v>2.9999999999495292E-2</v>
      </c>
      <c r="C1121">
        <f t="shared" si="156"/>
        <v>0.13000000000050471</v>
      </c>
      <c r="D1121">
        <f t="shared" si="157"/>
        <v>8.0000000000134588E-2</v>
      </c>
      <c r="E1121">
        <f t="shared" si="154"/>
        <v>8.0000000000301691E-2</v>
      </c>
      <c r="P1121">
        <f t="shared" si="158"/>
        <v>0</v>
      </c>
      <c r="Q1121">
        <f t="shared" si="159"/>
        <v>0</v>
      </c>
    </row>
    <row r="1122" spans="1:17" x14ac:dyDescent="0.45">
      <c r="A1122">
        <v>5.5749999999999096</v>
      </c>
      <c r="B1122">
        <f t="shared" si="155"/>
        <v>2.9999999999507754E-2</v>
      </c>
      <c r="C1122">
        <f t="shared" si="156"/>
        <v>0.13000000000049225</v>
      </c>
      <c r="D1122">
        <f t="shared" si="157"/>
        <v>8.0000000000131272E-2</v>
      </c>
      <c r="E1122">
        <f t="shared" si="154"/>
        <v>8.0000000000300983E-2</v>
      </c>
      <c r="P1122">
        <f t="shared" si="158"/>
        <v>0</v>
      </c>
      <c r="Q1122">
        <f t="shared" si="159"/>
        <v>0</v>
      </c>
    </row>
    <row r="1123" spans="1:17" x14ac:dyDescent="0.45">
      <c r="A1123">
        <v>5.5799999999999104</v>
      </c>
      <c r="B1123">
        <f t="shared" si="155"/>
        <v>2.9999999999519911E-2</v>
      </c>
      <c r="C1123">
        <f t="shared" si="156"/>
        <v>0.13000000000048009</v>
      </c>
      <c r="D1123">
        <f t="shared" si="157"/>
        <v>8.0000000000128024E-2</v>
      </c>
      <c r="E1123">
        <f t="shared" si="154"/>
        <v>8.0000000000299915E-2</v>
      </c>
      <c r="P1123">
        <f t="shared" si="158"/>
        <v>0</v>
      </c>
      <c r="Q1123">
        <f t="shared" si="159"/>
        <v>0</v>
      </c>
    </row>
    <row r="1124" spans="1:17" x14ac:dyDescent="0.45">
      <c r="A1124">
        <v>5.5849999999999103</v>
      </c>
      <c r="B1124">
        <f t="shared" si="155"/>
        <v>2.9999999999531762E-2</v>
      </c>
      <c r="C1124">
        <f t="shared" si="156"/>
        <v>0.13000000000046824</v>
      </c>
      <c r="D1124">
        <f t="shared" si="157"/>
        <v>8.000000000012486E-2</v>
      </c>
      <c r="E1124">
        <f t="shared" si="154"/>
        <v>8.0000000000298499E-2</v>
      </c>
      <c r="P1124">
        <f t="shared" si="158"/>
        <v>0</v>
      </c>
      <c r="Q1124">
        <f t="shared" si="159"/>
        <v>0</v>
      </c>
    </row>
    <row r="1125" spans="1:17" x14ac:dyDescent="0.45">
      <c r="A1125">
        <v>5.5899999999999102</v>
      </c>
      <c r="B1125">
        <f t="shared" si="155"/>
        <v>2.9999999999543323E-2</v>
      </c>
      <c r="C1125">
        <f t="shared" si="156"/>
        <v>0.13000000000045669</v>
      </c>
      <c r="D1125">
        <f t="shared" si="157"/>
        <v>8.0000000000121779E-2</v>
      </c>
      <c r="E1125">
        <f t="shared" si="154"/>
        <v>8.000000000029675E-2</v>
      </c>
      <c r="P1125">
        <f t="shared" si="158"/>
        <v>0</v>
      </c>
      <c r="Q1125">
        <f t="shared" si="159"/>
        <v>0</v>
      </c>
    </row>
    <row r="1126" spans="1:17" x14ac:dyDescent="0.45">
      <c r="A1126">
        <v>5.59499999999991</v>
      </c>
      <c r="B1126">
        <f t="shared" si="155"/>
        <v>2.9999999999554591E-2</v>
      </c>
      <c r="C1126">
        <f t="shared" si="156"/>
        <v>0.13000000000044543</v>
      </c>
      <c r="D1126">
        <f t="shared" si="157"/>
        <v>8.0000000000118782E-2</v>
      </c>
      <c r="E1126">
        <f t="shared" si="154"/>
        <v>8.000000000029471E-2</v>
      </c>
      <c r="P1126">
        <f t="shared" si="158"/>
        <v>0</v>
      </c>
      <c r="Q1126">
        <f t="shared" si="159"/>
        <v>0</v>
      </c>
    </row>
    <row r="1127" spans="1:17" x14ac:dyDescent="0.45">
      <c r="A1127">
        <v>5.5999999999999099</v>
      </c>
      <c r="B1127">
        <f t="shared" si="155"/>
        <v>2.9999999999565596E-2</v>
      </c>
      <c r="C1127">
        <f t="shared" si="156"/>
        <v>0.13000000000043441</v>
      </c>
      <c r="D1127">
        <f t="shared" si="157"/>
        <v>8.000000000011584E-2</v>
      </c>
      <c r="E1127">
        <f t="shared" si="154"/>
        <v>8.0000000000292379E-2</v>
      </c>
      <c r="P1127">
        <f t="shared" si="158"/>
        <v>0</v>
      </c>
      <c r="Q1127">
        <f t="shared" si="159"/>
        <v>0</v>
      </c>
    </row>
    <row r="1128" spans="1:17" x14ac:dyDescent="0.45">
      <c r="A1128">
        <v>5.6049999999999098</v>
      </c>
      <c r="B1128">
        <f t="shared" si="155"/>
        <v>2.999999999957631E-2</v>
      </c>
      <c r="C1128">
        <f t="shared" si="156"/>
        <v>0.13000000000042369</v>
      </c>
      <c r="D1128">
        <f t="shared" si="157"/>
        <v>8.0000000000112981E-2</v>
      </c>
      <c r="E1128">
        <f t="shared" si="154"/>
        <v>8.000000000028977E-2</v>
      </c>
      <c r="P1128">
        <f t="shared" si="158"/>
        <v>0</v>
      </c>
      <c r="Q1128">
        <f t="shared" si="159"/>
        <v>0</v>
      </c>
    </row>
    <row r="1129" spans="1:17" x14ac:dyDescent="0.45">
      <c r="A1129">
        <v>5.6099999999999097</v>
      </c>
      <c r="B1129">
        <f t="shared" si="155"/>
        <v>2.9999999999586774E-2</v>
      </c>
      <c r="C1129">
        <f t="shared" si="156"/>
        <v>0.13000000000041323</v>
      </c>
      <c r="D1129">
        <f t="shared" si="157"/>
        <v>8.0000000000110191E-2</v>
      </c>
      <c r="E1129">
        <f t="shared" si="154"/>
        <v>8.0000000000286897E-2</v>
      </c>
      <c r="P1129">
        <f t="shared" si="158"/>
        <v>0</v>
      </c>
      <c r="Q1129">
        <f t="shared" si="159"/>
        <v>0</v>
      </c>
    </row>
    <row r="1130" spans="1:17" x14ac:dyDescent="0.45">
      <c r="A1130">
        <v>5.6149999999999096</v>
      </c>
      <c r="B1130">
        <f t="shared" si="155"/>
        <v>2.9999999999596974E-2</v>
      </c>
      <c r="C1130">
        <f t="shared" si="156"/>
        <v>0.13000000000040302</v>
      </c>
      <c r="D1130">
        <f t="shared" si="157"/>
        <v>8.0000000000107471E-2</v>
      </c>
      <c r="E1130">
        <f t="shared" si="154"/>
        <v>8.0000000000283802E-2</v>
      </c>
      <c r="P1130">
        <f t="shared" si="158"/>
        <v>0</v>
      </c>
      <c r="Q1130">
        <f t="shared" si="159"/>
        <v>0</v>
      </c>
    </row>
    <row r="1131" spans="1:17" x14ac:dyDescent="0.45">
      <c r="A1131">
        <v>5.6199999999999104</v>
      </c>
      <c r="B1131">
        <f t="shared" si="155"/>
        <v>2.9999999999606924E-2</v>
      </c>
      <c r="C1131">
        <f t="shared" si="156"/>
        <v>0.13000000000039308</v>
      </c>
      <c r="D1131">
        <f t="shared" si="157"/>
        <v>8.0000000000104821E-2</v>
      </c>
      <c r="E1131">
        <f t="shared" si="154"/>
        <v>8.0000000000280472E-2</v>
      </c>
      <c r="P1131">
        <f t="shared" si="158"/>
        <v>0</v>
      </c>
      <c r="Q1131">
        <f t="shared" si="159"/>
        <v>0</v>
      </c>
    </row>
    <row r="1132" spans="1:17" x14ac:dyDescent="0.45">
      <c r="A1132">
        <v>5.6249999999999103</v>
      </c>
      <c r="B1132">
        <f t="shared" si="155"/>
        <v>2.9999999999616639E-2</v>
      </c>
      <c r="C1132">
        <f t="shared" si="156"/>
        <v>0.13000000000038336</v>
      </c>
      <c r="D1132">
        <f t="shared" si="157"/>
        <v>8.0000000000102225E-2</v>
      </c>
      <c r="E1132">
        <f t="shared" si="154"/>
        <v>8.0000000000276933E-2</v>
      </c>
      <c r="P1132">
        <f t="shared" si="158"/>
        <v>0</v>
      </c>
      <c r="Q1132">
        <f t="shared" si="159"/>
        <v>0</v>
      </c>
    </row>
    <row r="1133" spans="1:17" x14ac:dyDescent="0.45">
      <c r="A1133">
        <v>5.6299999999999102</v>
      </c>
      <c r="B1133">
        <f t="shared" si="155"/>
        <v>2.9999999999626104E-2</v>
      </c>
      <c r="C1133">
        <f t="shared" si="156"/>
        <v>0.1300000000003739</v>
      </c>
      <c r="D1133">
        <f t="shared" si="157"/>
        <v>8.0000000000099714E-2</v>
      </c>
      <c r="E1133">
        <f t="shared" si="154"/>
        <v>8.0000000000273214E-2</v>
      </c>
      <c r="P1133">
        <f t="shared" si="158"/>
        <v>0</v>
      </c>
      <c r="Q1133">
        <f t="shared" si="159"/>
        <v>0</v>
      </c>
    </row>
    <row r="1134" spans="1:17" x14ac:dyDescent="0.45">
      <c r="A1134">
        <v>5.6349999999999101</v>
      </c>
      <c r="B1134">
        <f t="shared" si="155"/>
        <v>2.9999999999635332E-2</v>
      </c>
      <c r="C1134">
        <f t="shared" si="156"/>
        <v>0.13000000000036466</v>
      </c>
      <c r="D1134">
        <f t="shared" si="157"/>
        <v>8.0000000000097243E-2</v>
      </c>
      <c r="E1134">
        <f t="shared" si="154"/>
        <v>8.00000000002693E-2</v>
      </c>
      <c r="P1134">
        <f t="shared" si="158"/>
        <v>0</v>
      </c>
      <c r="Q1134">
        <f t="shared" si="159"/>
        <v>0</v>
      </c>
    </row>
    <row r="1135" spans="1:17" x14ac:dyDescent="0.45">
      <c r="A1135">
        <v>5.63999999999991</v>
      </c>
      <c r="B1135">
        <f t="shared" si="155"/>
        <v>2.9999999999644339E-2</v>
      </c>
      <c r="C1135">
        <f t="shared" si="156"/>
        <v>0.13000000000035566</v>
      </c>
      <c r="D1135">
        <f t="shared" si="157"/>
        <v>8.0000000000094842E-2</v>
      </c>
      <c r="E1135">
        <f t="shared" si="154"/>
        <v>8.0000000000265234E-2</v>
      </c>
      <c r="P1135">
        <f t="shared" si="158"/>
        <v>0</v>
      </c>
      <c r="Q1135">
        <f t="shared" si="159"/>
        <v>0</v>
      </c>
    </row>
    <row r="1136" spans="1:17" x14ac:dyDescent="0.45">
      <c r="A1136">
        <v>5.6449999999999099</v>
      </c>
      <c r="B1136">
        <f t="shared" si="155"/>
        <v>2.9999999999653124E-2</v>
      </c>
      <c r="C1136">
        <f t="shared" si="156"/>
        <v>0.13000000000034689</v>
      </c>
      <c r="D1136">
        <f t="shared" si="157"/>
        <v>8.0000000000092497E-2</v>
      </c>
      <c r="E1136">
        <f t="shared" si="154"/>
        <v>8.0000000000261015E-2</v>
      </c>
      <c r="P1136">
        <f t="shared" si="158"/>
        <v>0</v>
      </c>
      <c r="Q1136">
        <f t="shared" si="159"/>
        <v>0</v>
      </c>
    </row>
    <row r="1137" spans="1:17" x14ac:dyDescent="0.45">
      <c r="A1137">
        <v>5.6499999999999098</v>
      </c>
      <c r="B1137">
        <f t="shared" si="155"/>
        <v>2.9999999999661686E-2</v>
      </c>
      <c r="C1137">
        <f t="shared" si="156"/>
        <v>0.13000000000033832</v>
      </c>
      <c r="D1137">
        <f t="shared" si="157"/>
        <v>8.0000000000090221E-2</v>
      </c>
      <c r="E1137">
        <f t="shared" si="154"/>
        <v>8.0000000000256657E-2</v>
      </c>
      <c r="P1137">
        <f t="shared" si="158"/>
        <v>0</v>
      </c>
      <c r="Q1137">
        <f t="shared" si="159"/>
        <v>0</v>
      </c>
    </row>
    <row r="1138" spans="1:17" x14ac:dyDescent="0.45">
      <c r="A1138">
        <v>5.6549999999999097</v>
      </c>
      <c r="B1138">
        <f t="shared" si="155"/>
        <v>2.9999999999670041E-2</v>
      </c>
      <c r="C1138">
        <f t="shared" si="156"/>
        <v>0.13000000000032996</v>
      </c>
      <c r="D1138">
        <f t="shared" si="157"/>
        <v>8.0000000000087987E-2</v>
      </c>
      <c r="E1138">
        <f t="shared" si="154"/>
        <v>8.0000000000252161E-2</v>
      </c>
      <c r="P1138">
        <f t="shared" si="158"/>
        <v>0</v>
      </c>
      <c r="Q1138">
        <f t="shared" si="159"/>
        <v>0</v>
      </c>
    </row>
    <row r="1139" spans="1:17" x14ac:dyDescent="0.45">
      <c r="A1139">
        <v>5.6599999999999104</v>
      </c>
      <c r="B1139">
        <f t="shared" si="155"/>
        <v>2.9999999999678187E-2</v>
      </c>
      <c r="C1139">
        <f t="shared" si="156"/>
        <v>0.1300000000003218</v>
      </c>
      <c r="D1139">
        <f t="shared" si="157"/>
        <v>8.0000000000085822E-2</v>
      </c>
      <c r="E1139">
        <f t="shared" si="154"/>
        <v>8.0000000000247568E-2</v>
      </c>
      <c r="P1139">
        <f t="shared" si="158"/>
        <v>0</v>
      </c>
      <c r="Q1139">
        <f t="shared" si="159"/>
        <v>0</v>
      </c>
    </row>
    <row r="1140" spans="1:17" x14ac:dyDescent="0.45">
      <c r="A1140">
        <v>5.6649999999999103</v>
      </c>
      <c r="B1140">
        <f t="shared" si="155"/>
        <v>2.9999999999686125E-2</v>
      </c>
      <c r="C1140">
        <f t="shared" si="156"/>
        <v>0.13000000000031386</v>
      </c>
      <c r="D1140">
        <f t="shared" si="157"/>
        <v>8.0000000000083699E-2</v>
      </c>
      <c r="E1140">
        <f t="shared" si="154"/>
        <v>8.0000000000242863E-2</v>
      </c>
      <c r="P1140">
        <f t="shared" si="158"/>
        <v>0</v>
      </c>
      <c r="Q1140">
        <f t="shared" si="159"/>
        <v>0</v>
      </c>
    </row>
    <row r="1141" spans="1:17" x14ac:dyDescent="0.45">
      <c r="A1141">
        <v>5.6699999999999102</v>
      </c>
      <c r="B1141">
        <f t="shared" si="155"/>
        <v>2.9999999999693883E-2</v>
      </c>
      <c r="C1141">
        <f t="shared" si="156"/>
        <v>0.13000000000030612</v>
      </c>
      <c r="D1141">
        <f t="shared" si="157"/>
        <v>8.0000000000081631E-2</v>
      </c>
      <c r="E1141">
        <f t="shared" si="154"/>
        <v>8.0000000000238061E-2</v>
      </c>
      <c r="P1141">
        <f t="shared" si="158"/>
        <v>0</v>
      </c>
      <c r="Q1141">
        <f t="shared" si="159"/>
        <v>0</v>
      </c>
    </row>
    <row r="1142" spans="1:17" x14ac:dyDescent="0.45">
      <c r="A1142">
        <v>5.6749999999999101</v>
      </c>
      <c r="B1142">
        <f t="shared" si="155"/>
        <v>2.9999999999701432E-2</v>
      </c>
      <c r="C1142">
        <f t="shared" si="156"/>
        <v>0.13000000000029857</v>
      </c>
      <c r="D1142">
        <f t="shared" si="157"/>
        <v>8.0000000000079619E-2</v>
      </c>
      <c r="E1142">
        <f t="shared" si="154"/>
        <v>8.000000000023319E-2</v>
      </c>
      <c r="P1142">
        <f t="shared" si="158"/>
        <v>0</v>
      </c>
      <c r="Q1142">
        <f t="shared" si="159"/>
        <v>0</v>
      </c>
    </row>
    <row r="1143" spans="1:17" x14ac:dyDescent="0.45">
      <c r="A1143">
        <v>5.67999999999991</v>
      </c>
      <c r="B1143">
        <f t="shared" si="155"/>
        <v>2.9999999999708801E-2</v>
      </c>
      <c r="C1143">
        <f t="shared" si="156"/>
        <v>0.13000000000029122</v>
      </c>
      <c r="D1143">
        <f t="shared" si="157"/>
        <v>8.0000000000077648E-2</v>
      </c>
      <c r="E1143">
        <f t="shared" si="154"/>
        <v>8.000000000022825E-2</v>
      </c>
      <c r="P1143">
        <f t="shared" si="158"/>
        <v>0</v>
      </c>
      <c r="Q1143">
        <f t="shared" si="159"/>
        <v>0</v>
      </c>
    </row>
    <row r="1144" spans="1:17" x14ac:dyDescent="0.45">
      <c r="A1144">
        <v>5.6849999999999099</v>
      </c>
      <c r="B1144">
        <f t="shared" si="155"/>
        <v>2.999999999971599E-2</v>
      </c>
      <c r="C1144">
        <f t="shared" si="156"/>
        <v>0.130000000000284</v>
      </c>
      <c r="D1144">
        <f t="shared" si="157"/>
        <v>8.0000000000075733E-2</v>
      </c>
      <c r="E1144">
        <f t="shared" si="154"/>
        <v>8.000000000022324E-2</v>
      </c>
      <c r="P1144">
        <f t="shared" si="158"/>
        <v>0</v>
      </c>
      <c r="Q1144">
        <f t="shared" si="159"/>
        <v>0</v>
      </c>
    </row>
    <row r="1145" spans="1:17" x14ac:dyDescent="0.45">
      <c r="A1145">
        <v>5.6899999999999098</v>
      </c>
      <c r="B1145">
        <f t="shared" si="155"/>
        <v>2.9999999999723012E-2</v>
      </c>
      <c r="C1145">
        <f t="shared" si="156"/>
        <v>0.13000000000027701</v>
      </c>
      <c r="D1145">
        <f t="shared" si="157"/>
        <v>8.0000000000073859E-2</v>
      </c>
      <c r="E1145">
        <f t="shared" si="154"/>
        <v>8.0000000000218188E-2</v>
      </c>
      <c r="P1145">
        <f t="shared" si="158"/>
        <v>0</v>
      </c>
      <c r="Q1145">
        <f t="shared" si="159"/>
        <v>0</v>
      </c>
    </row>
    <row r="1146" spans="1:17" x14ac:dyDescent="0.45">
      <c r="A1146">
        <v>5.6949999999999097</v>
      </c>
      <c r="B1146">
        <f t="shared" si="155"/>
        <v>2.9999999999729854E-2</v>
      </c>
      <c r="C1146">
        <f t="shared" si="156"/>
        <v>0.13000000000027015</v>
      </c>
      <c r="D1146">
        <f t="shared" si="157"/>
        <v>8.0000000000072041E-2</v>
      </c>
      <c r="E1146">
        <f t="shared" si="154"/>
        <v>8.0000000000213081E-2</v>
      </c>
      <c r="P1146">
        <f t="shared" si="158"/>
        <v>0</v>
      </c>
      <c r="Q1146">
        <f t="shared" si="159"/>
        <v>0</v>
      </c>
    </row>
    <row r="1147" spans="1:17" x14ac:dyDescent="0.45">
      <c r="A1147">
        <v>5.6999999999999096</v>
      </c>
      <c r="B1147">
        <f t="shared" si="155"/>
        <v>2.9999999999736515E-2</v>
      </c>
      <c r="C1147">
        <f t="shared" si="156"/>
        <v>0.13000000000026349</v>
      </c>
      <c r="D1147">
        <f t="shared" si="157"/>
        <v>8.0000000000070265E-2</v>
      </c>
      <c r="E1147">
        <f t="shared" si="154"/>
        <v>8.000000000020796E-2</v>
      </c>
      <c r="P1147">
        <f t="shared" si="158"/>
        <v>0</v>
      </c>
      <c r="Q1147">
        <f t="shared" si="159"/>
        <v>0</v>
      </c>
    </row>
    <row r="1148" spans="1:17" x14ac:dyDescent="0.45">
      <c r="A1148">
        <v>5.7049999999999104</v>
      </c>
      <c r="B1148">
        <f t="shared" si="155"/>
        <v>2.9999999999743024E-2</v>
      </c>
      <c r="C1148">
        <f t="shared" si="156"/>
        <v>0.13000000000025697</v>
      </c>
      <c r="D1148">
        <f t="shared" si="157"/>
        <v>8.000000000006853E-2</v>
      </c>
      <c r="E1148">
        <f t="shared" si="154"/>
        <v>8.0000000000202798E-2</v>
      </c>
      <c r="P1148">
        <f t="shared" si="158"/>
        <v>0</v>
      </c>
      <c r="Q1148">
        <f t="shared" si="159"/>
        <v>0</v>
      </c>
    </row>
    <row r="1149" spans="1:17" x14ac:dyDescent="0.45">
      <c r="A1149">
        <v>5.7099999999999103</v>
      </c>
      <c r="B1149">
        <f t="shared" si="155"/>
        <v>2.9999999999749366E-2</v>
      </c>
      <c r="C1149">
        <f t="shared" si="156"/>
        <v>0.13000000000025064</v>
      </c>
      <c r="D1149">
        <f t="shared" si="157"/>
        <v>8.0000000000066837E-2</v>
      </c>
      <c r="E1149">
        <f t="shared" si="154"/>
        <v>8.0000000000197635E-2</v>
      </c>
      <c r="P1149">
        <f t="shared" si="158"/>
        <v>0</v>
      </c>
      <c r="Q1149">
        <f t="shared" si="159"/>
        <v>0</v>
      </c>
    </row>
    <row r="1150" spans="1:17" x14ac:dyDescent="0.45">
      <c r="A1150">
        <v>5.7149999999999102</v>
      </c>
      <c r="B1150">
        <f t="shared" si="155"/>
        <v>2.9999999999755556E-2</v>
      </c>
      <c r="C1150">
        <f t="shared" si="156"/>
        <v>0.13000000000024445</v>
      </c>
      <c r="D1150">
        <f t="shared" si="157"/>
        <v>8.0000000000065186E-2</v>
      </c>
      <c r="E1150">
        <f t="shared" si="154"/>
        <v>8.0000000000192445E-2</v>
      </c>
      <c r="P1150">
        <f t="shared" si="158"/>
        <v>0</v>
      </c>
      <c r="Q1150">
        <f t="shared" si="159"/>
        <v>0</v>
      </c>
    </row>
    <row r="1151" spans="1:17" x14ac:dyDescent="0.45">
      <c r="A1151">
        <v>5.71999999999991</v>
      </c>
      <c r="B1151">
        <f t="shared" si="155"/>
        <v>2.9999999999761592E-2</v>
      </c>
      <c r="C1151">
        <f t="shared" si="156"/>
        <v>0.13000000000023842</v>
      </c>
      <c r="D1151">
        <f t="shared" si="157"/>
        <v>8.0000000000063576E-2</v>
      </c>
      <c r="E1151">
        <f t="shared" si="154"/>
        <v>8.0000000000187269E-2</v>
      </c>
      <c r="P1151">
        <f t="shared" si="158"/>
        <v>0</v>
      </c>
      <c r="Q1151">
        <f t="shared" si="159"/>
        <v>0</v>
      </c>
    </row>
    <row r="1152" spans="1:17" x14ac:dyDescent="0.45">
      <c r="A1152">
        <v>5.7249999999999099</v>
      </c>
      <c r="B1152">
        <f t="shared" si="155"/>
        <v>2.9999999999767477E-2</v>
      </c>
      <c r="C1152">
        <f t="shared" si="156"/>
        <v>0.13000000000023254</v>
      </c>
      <c r="D1152">
        <f t="shared" si="157"/>
        <v>8.0000000000062008E-2</v>
      </c>
      <c r="E1152">
        <f t="shared" si="154"/>
        <v>8.0000000000182092E-2</v>
      </c>
      <c r="P1152">
        <f t="shared" si="158"/>
        <v>0</v>
      </c>
      <c r="Q1152">
        <f t="shared" si="159"/>
        <v>0</v>
      </c>
    </row>
    <row r="1153" spans="1:17" x14ac:dyDescent="0.45">
      <c r="A1153">
        <v>5.7299999999999098</v>
      </c>
      <c r="B1153">
        <f t="shared" si="155"/>
        <v>2.9999999999773222E-2</v>
      </c>
      <c r="C1153">
        <f t="shared" si="156"/>
        <v>0.13000000000022677</v>
      </c>
      <c r="D1153">
        <f t="shared" si="157"/>
        <v>8.0000000000060481E-2</v>
      </c>
      <c r="E1153">
        <f t="shared" si="154"/>
        <v>8.000000000017693E-2</v>
      </c>
      <c r="P1153">
        <f t="shared" si="158"/>
        <v>0</v>
      </c>
      <c r="Q1153">
        <f t="shared" si="159"/>
        <v>0</v>
      </c>
    </row>
    <row r="1154" spans="1:17" x14ac:dyDescent="0.45">
      <c r="A1154">
        <v>5.7349999999999097</v>
      </c>
      <c r="B1154">
        <f t="shared" si="155"/>
        <v>2.9999999999778815E-2</v>
      </c>
      <c r="C1154">
        <f t="shared" si="156"/>
        <v>0.13000000000022119</v>
      </c>
      <c r="D1154">
        <f t="shared" si="157"/>
        <v>8.0000000000058982E-2</v>
      </c>
      <c r="E1154">
        <f t="shared" si="154"/>
        <v>8.0000000000171781E-2</v>
      </c>
      <c r="P1154">
        <f t="shared" si="158"/>
        <v>0</v>
      </c>
      <c r="Q1154">
        <f t="shared" si="159"/>
        <v>0</v>
      </c>
    </row>
    <row r="1155" spans="1:17" x14ac:dyDescent="0.45">
      <c r="A1155">
        <v>5.7399999999999096</v>
      </c>
      <c r="B1155">
        <f t="shared" si="155"/>
        <v>2.9999999999784283E-2</v>
      </c>
      <c r="C1155">
        <f t="shared" si="156"/>
        <v>0.13000000000021572</v>
      </c>
      <c r="D1155">
        <f t="shared" si="157"/>
        <v>8.0000000000057525E-2</v>
      </c>
      <c r="E1155">
        <f t="shared" si="154"/>
        <v>8.000000000016666E-2</v>
      </c>
      <c r="P1155">
        <f t="shared" si="158"/>
        <v>0</v>
      </c>
      <c r="Q1155">
        <f t="shared" si="159"/>
        <v>0</v>
      </c>
    </row>
    <row r="1156" spans="1:17" x14ac:dyDescent="0.45">
      <c r="A1156">
        <v>5.7449999999999104</v>
      </c>
      <c r="B1156">
        <f t="shared" si="155"/>
        <v>2.9999999999789598E-2</v>
      </c>
      <c r="C1156">
        <f t="shared" si="156"/>
        <v>0.13000000000021039</v>
      </c>
      <c r="D1156">
        <f t="shared" si="157"/>
        <v>8.000000000005611E-2</v>
      </c>
      <c r="E1156">
        <f t="shared" si="154"/>
        <v>8.0000000000161581E-2</v>
      </c>
      <c r="P1156">
        <f t="shared" si="158"/>
        <v>0</v>
      </c>
      <c r="Q1156">
        <f t="shared" si="159"/>
        <v>0</v>
      </c>
    </row>
    <row r="1157" spans="1:17" x14ac:dyDescent="0.45">
      <c r="A1157">
        <v>5.7499999999999103</v>
      </c>
      <c r="B1157">
        <f t="shared" si="155"/>
        <v>2.9999999999794802E-2</v>
      </c>
      <c r="C1157">
        <f t="shared" si="156"/>
        <v>0.1300000000002052</v>
      </c>
      <c r="D1157">
        <f t="shared" si="157"/>
        <v>8.0000000000054722E-2</v>
      </c>
      <c r="E1157">
        <f t="shared" si="154"/>
        <v>8.0000000000156515E-2</v>
      </c>
      <c r="P1157">
        <f t="shared" si="158"/>
        <v>0</v>
      </c>
      <c r="Q1157">
        <f t="shared" si="159"/>
        <v>0</v>
      </c>
    </row>
    <row r="1158" spans="1:17" x14ac:dyDescent="0.45">
      <c r="A1158">
        <v>5.7549999999999102</v>
      </c>
      <c r="B1158">
        <f t="shared" si="155"/>
        <v>2.9999999999799867E-2</v>
      </c>
      <c r="C1158">
        <f t="shared" si="156"/>
        <v>0.13000000000020012</v>
      </c>
      <c r="D1158">
        <f t="shared" si="157"/>
        <v>8.0000000000053376E-2</v>
      </c>
      <c r="E1158">
        <f t="shared" si="154"/>
        <v>8.0000000000151505E-2</v>
      </c>
      <c r="P1158">
        <f t="shared" si="158"/>
        <v>0</v>
      </c>
      <c r="Q1158">
        <f t="shared" si="159"/>
        <v>0</v>
      </c>
    </row>
    <row r="1159" spans="1:17" x14ac:dyDescent="0.45">
      <c r="A1159">
        <v>5.7599999999999101</v>
      </c>
      <c r="B1159">
        <f t="shared" si="155"/>
        <v>2.9999999999804808E-2</v>
      </c>
      <c r="C1159">
        <f t="shared" si="156"/>
        <v>0.13000000000019518</v>
      </c>
      <c r="D1159">
        <f t="shared" si="157"/>
        <v>8.0000000000052057E-2</v>
      </c>
      <c r="E1159">
        <f t="shared" ref="E1159:E1222" si="160">P0-SIGN(DeltaThetaDeg)*EXP(-Xi*Wn*A1159)*(COS(Wd*A1159)-(Xi*Wn-1)/(Wd)*SIN(Wd*A1159))*Ppeak</f>
        <v>8.0000000000146523E-2</v>
      </c>
      <c r="P1159">
        <f t="shared" si="158"/>
        <v>0</v>
      </c>
      <c r="Q1159">
        <f t="shared" si="159"/>
        <v>0</v>
      </c>
    </row>
    <row r="1160" spans="1:17" x14ac:dyDescent="0.45">
      <c r="A1160">
        <v>5.76499999999991</v>
      </c>
      <c r="B1160">
        <f t="shared" si="155"/>
        <v>2.9999999999809623E-2</v>
      </c>
      <c r="C1160">
        <f t="shared" si="156"/>
        <v>0.13000000000019038</v>
      </c>
      <c r="D1160">
        <f t="shared" si="157"/>
        <v>8.0000000000050767E-2</v>
      </c>
      <c r="E1160">
        <f t="shared" si="160"/>
        <v>8.0000000000141611E-2</v>
      </c>
      <c r="P1160">
        <f t="shared" si="158"/>
        <v>0</v>
      </c>
      <c r="Q1160">
        <f t="shared" si="159"/>
        <v>0</v>
      </c>
    </row>
    <row r="1161" spans="1:17" x14ac:dyDescent="0.45">
      <c r="A1161">
        <v>5.7699999999999001</v>
      </c>
      <c r="B1161">
        <f t="shared" ref="B1161:B1224" si="161">P0-Ppeak*(1+Marge_haute)*EXP(-Sigma*A1159)-Tunnel</f>
        <v>2.9999999999814328E-2</v>
      </c>
      <c r="C1161">
        <f t="shared" ref="C1161:C1224" si="162">P0+Ppeak*(1+Marge_haute)*EXP(-Sigma*A1159)+Tunnel</f>
        <v>0.13000000000018569</v>
      </c>
      <c r="D1161">
        <f t="shared" ref="D1161:D1224" si="163">P0-SIGN(DeltaThetaDeg)*Marge_basse*Ppeak*EXP(-Sigma*A1159)</f>
        <v>8.0000000000049518E-2</v>
      </c>
      <c r="E1161">
        <f t="shared" si="160"/>
        <v>8.000000000013674E-2</v>
      </c>
      <c r="P1161">
        <f t="shared" si="158"/>
        <v>0</v>
      </c>
      <c r="Q1161">
        <f t="shared" si="159"/>
        <v>0</v>
      </c>
    </row>
    <row r="1162" spans="1:17" x14ac:dyDescent="0.45">
      <c r="A1162">
        <v>5.7749999999999</v>
      </c>
      <c r="B1162">
        <f t="shared" si="161"/>
        <v>2.9999999999818908E-2</v>
      </c>
      <c r="C1162">
        <f t="shared" si="162"/>
        <v>0.13000000000018108</v>
      </c>
      <c r="D1162">
        <f t="shared" si="163"/>
        <v>8.0000000000048296E-2</v>
      </c>
      <c r="E1162">
        <f t="shared" si="160"/>
        <v>8.0000000000131924E-2</v>
      </c>
      <c r="P1162">
        <f t="shared" si="158"/>
        <v>0</v>
      </c>
      <c r="Q1162">
        <f t="shared" si="159"/>
        <v>0</v>
      </c>
    </row>
    <row r="1163" spans="1:17" x14ac:dyDescent="0.45">
      <c r="A1163">
        <v>5.7799999999998999</v>
      </c>
      <c r="B1163">
        <f t="shared" si="161"/>
        <v>2.9999999999823376E-2</v>
      </c>
      <c r="C1163">
        <f t="shared" si="162"/>
        <v>0.13000000000017664</v>
      </c>
      <c r="D1163">
        <f t="shared" si="163"/>
        <v>8.0000000000047103E-2</v>
      </c>
      <c r="E1163">
        <f t="shared" si="160"/>
        <v>8.0000000000127178E-2</v>
      </c>
      <c r="P1163">
        <f t="shared" ref="P1163:P1226" si="164">IF(EMT_simulation,N1159,N1163)</f>
        <v>0</v>
      </c>
      <c r="Q1163">
        <f t="shared" ref="Q1163:Q1226" si="165">IF(EMT_simulation,O1159,O1163)</f>
        <v>0</v>
      </c>
    </row>
    <row r="1164" spans="1:17" x14ac:dyDescent="0.45">
      <c r="A1164">
        <v>5.7849999999998998</v>
      </c>
      <c r="B1164">
        <f t="shared" si="161"/>
        <v>2.9999999999827748E-2</v>
      </c>
      <c r="C1164">
        <f t="shared" si="162"/>
        <v>0.13000000000017226</v>
      </c>
      <c r="D1164">
        <f t="shared" si="163"/>
        <v>8.0000000000045937E-2</v>
      </c>
      <c r="E1164">
        <f t="shared" si="160"/>
        <v>8.0000000000122487E-2</v>
      </c>
      <c r="P1164">
        <f t="shared" si="164"/>
        <v>0</v>
      </c>
      <c r="Q1164">
        <f t="shared" si="165"/>
        <v>0</v>
      </c>
    </row>
    <row r="1165" spans="1:17" x14ac:dyDescent="0.45">
      <c r="A1165">
        <v>5.7899999999998997</v>
      </c>
      <c r="B1165">
        <f t="shared" si="161"/>
        <v>2.9999999999831994E-2</v>
      </c>
      <c r="C1165">
        <f t="shared" si="162"/>
        <v>0.13000000000016801</v>
      </c>
      <c r="D1165">
        <f t="shared" si="163"/>
        <v>8.0000000000044799E-2</v>
      </c>
      <c r="E1165">
        <f t="shared" si="160"/>
        <v>8.0000000000117866E-2</v>
      </c>
      <c r="P1165">
        <f t="shared" si="164"/>
        <v>0</v>
      </c>
      <c r="Q1165">
        <f t="shared" si="165"/>
        <v>0</v>
      </c>
    </row>
    <row r="1166" spans="1:17" x14ac:dyDescent="0.45">
      <c r="A1166">
        <v>5.7949999999998996</v>
      </c>
      <c r="B1166">
        <f t="shared" si="161"/>
        <v>2.9999999999836144E-2</v>
      </c>
      <c r="C1166">
        <f t="shared" si="162"/>
        <v>0.13000000000016387</v>
      </c>
      <c r="D1166">
        <f t="shared" si="163"/>
        <v>8.0000000000043703E-2</v>
      </c>
      <c r="E1166">
        <f t="shared" si="160"/>
        <v>8.0000000000113314E-2</v>
      </c>
      <c r="P1166">
        <f t="shared" si="164"/>
        <v>0</v>
      </c>
      <c r="Q1166">
        <f t="shared" si="165"/>
        <v>0</v>
      </c>
    </row>
    <row r="1167" spans="1:17" x14ac:dyDescent="0.45">
      <c r="A1167">
        <v>5.7999999999999003</v>
      </c>
      <c r="B1167">
        <f t="shared" si="161"/>
        <v>2.9999999999840182E-2</v>
      </c>
      <c r="C1167">
        <f t="shared" si="162"/>
        <v>0.13000000000015982</v>
      </c>
      <c r="D1167">
        <f t="shared" si="163"/>
        <v>8.000000000004262E-2</v>
      </c>
      <c r="E1167">
        <f t="shared" si="160"/>
        <v>8.0000000000108831E-2</v>
      </c>
      <c r="P1167">
        <f t="shared" si="164"/>
        <v>0</v>
      </c>
      <c r="Q1167">
        <f t="shared" si="165"/>
        <v>0</v>
      </c>
    </row>
    <row r="1168" spans="1:17" x14ac:dyDescent="0.45">
      <c r="A1168">
        <v>5.8049999999999002</v>
      </c>
      <c r="B1168">
        <f t="shared" si="161"/>
        <v>2.9999999999844137E-2</v>
      </c>
      <c r="C1168">
        <f t="shared" si="162"/>
        <v>0.13000000000015588</v>
      </c>
      <c r="D1168">
        <f t="shared" si="163"/>
        <v>8.0000000000041566E-2</v>
      </c>
      <c r="E1168">
        <f t="shared" si="160"/>
        <v>8.0000000000104432E-2</v>
      </c>
      <c r="P1168">
        <f t="shared" si="164"/>
        <v>0</v>
      </c>
      <c r="Q1168">
        <f t="shared" si="165"/>
        <v>0</v>
      </c>
    </row>
    <row r="1169" spans="1:17" x14ac:dyDescent="0.45">
      <c r="A1169">
        <v>5.8099999999999001</v>
      </c>
      <c r="B1169">
        <f t="shared" si="161"/>
        <v>2.9999999999847982E-2</v>
      </c>
      <c r="C1169">
        <f t="shared" si="162"/>
        <v>0.13000000000015202</v>
      </c>
      <c r="D1169">
        <f t="shared" si="163"/>
        <v>8.0000000000040539E-2</v>
      </c>
      <c r="E1169">
        <f t="shared" si="160"/>
        <v>8.0000000000100102E-2</v>
      </c>
      <c r="P1169">
        <f t="shared" si="164"/>
        <v>0</v>
      </c>
      <c r="Q1169">
        <f t="shared" si="165"/>
        <v>0</v>
      </c>
    </row>
    <row r="1170" spans="1:17" x14ac:dyDescent="0.45">
      <c r="A1170">
        <v>5.8149999999999</v>
      </c>
      <c r="B1170">
        <f t="shared" si="161"/>
        <v>2.9999999999851742E-2</v>
      </c>
      <c r="C1170">
        <f t="shared" si="162"/>
        <v>0.13000000000014827</v>
      </c>
      <c r="D1170">
        <f t="shared" si="163"/>
        <v>8.0000000000039539E-2</v>
      </c>
      <c r="E1170">
        <f t="shared" si="160"/>
        <v>8.0000000000095856E-2</v>
      </c>
      <c r="P1170">
        <f t="shared" si="164"/>
        <v>0</v>
      </c>
      <c r="Q1170">
        <f t="shared" si="165"/>
        <v>0</v>
      </c>
    </row>
    <row r="1171" spans="1:17" x14ac:dyDescent="0.45">
      <c r="A1171">
        <v>5.8199999999998999</v>
      </c>
      <c r="B1171">
        <f t="shared" si="161"/>
        <v>2.9999999999855392E-2</v>
      </c>
      <c r="C1171">
        <f t="shared" si="162"/>
        <v>0.13000000000014461</v>
      </c>
      <c r="D1171">
        <f t="shared" si="163"/>
        <v>8.0000000000038568E-2</v>
      </c>
      <c r="E1171">
        <f t="shared" si="160"/>
        <v>8.0000000000091692E-2</v>
      </c>
      <c r="P1171">
        <f t="shared" si="164"/>
        <v>0</v>
      </c>
      <c r="Q1171">
        <f t="shared" si="165"/>
        <v>0</v>
      </c>
    </row>
    <row r="1172" spans="1:17" x14ac:dyDescent="0.45">
      <c r="A1172">
        <v>5.8249999999998998</v>
      </c>
      <c r="B1172">
        <f t="shared" si="161"/>
        <v>2.9999999999858973E-2</v>
      </c>
      <c r="C1172">
        <f t="shared" si="162"/>
        <v>0.13000000000014103</v>
      </c>
      <c r="D1172">
        <f t="shared" si="163"/>
        <v>8.000000000003761E-2</v>
      </c>
      <c r="E1172">
        <f t="shared" si="160"/>
        <v>8.0000000000087598E-2</v>
      </c>
      <c r="P1172">
        <f t="shared" si="164"/>
        <v>0</v>
      </c>
      <c r="Q1172">
        <f t="shared" si="165"/>
        <v>0</v>
      </c>
    </row>
    <row r="1173" spans="1:17" x14ac:dyDescent="0.45">
      <c r="A1173">
        <v>5.8299999999998997</v>
      </c>
      <c r="B1173">
        <f t="shared" si="161"/>
        <v>2.9999999999862456E-2</v>
      </c>
      <c r="C1173">
        <f t="shared" si="162"/>
        <v>0.13000000000013756</v>
      </c>
      <c r="D1173">
        <f t="shared" si="163"/>
        <v>8.0000000000036681E-2</v>
      </c>
      <c r="E1173">
        <f t="shared" si="160"/>
        <v>8.0000000000083601E-2</v>
      </c>
      <c r="P1173">
        <f t="shared" si="164"/>
        <v>0</v>
      </c>
      <c r="Q1173">
        <f t="shared" si="165"/>
        <v>0</v>
      </c>
    </row>
    <row r="1174" spans="1:17" x14ac:dyDescent="0.45">
      <c r="A1174">
        <v>5.8349999999998996</v>
      </c>
      <c r="B1174">
        <f t="shared" si="161"/>
        <v>2.9999999999865842E-2</v>
      </c>
      <c r="C1174">
        <f t="shared" si="162"/>
        <v>0.13000000000013417</v>
      </c>
      <c r="D1174">
        <f t="shared" si="163"/>
        <v>8.0000000000035779E-2</v>
      </c>
      <c r="E1174">
        <f t="shared" si="160"/>
        <v>8.0000000000079688E-2</v>
      </c>
      <c r="P1174">
        <f t="shared" si="164"/>
        <v>0</v>
      </c>
      <c r="Q1174">
        <f t="shared" si="165"/>
        <v>0</v>
      </c>
    </row>
    <row r="1175" spans="1:17" x14ac:dyDescent="0.45">
      <c r="A1175">
        <v>5.8399999999999004</v>
      </c>
      <c r="B1175">
        <f t="shared" si="161"/>
        <v>2.9999999999869159E-2</v>
      </c>
      <c r="C1175">
        <f t="shared" si="162"/>
        <v>0.13000000000013084</v>
      </c>
      <c r="D1175">
        <f t="shared" si="163"/>
        <v>8.000000000003489E-2</v>
      </c>
      <c r="E1175">
        <f t="shared" si="160"/>
        <v>8.0000000000075858E-2</v>
      </c>
      <c r="P1175">
        <f t="shared" si="164"/>
        <v>0</v>
      </c>
      <c r="Q1175">
        <f t="shared" si="165"/>
        <v>0</v>
      </c>
    </row>
    <row r="1176" spans="1:17" x14ac:dyDescent="0.45">
      <c r="A1176">
        <v>5.8449999999999003</v>
      </c>
      <c r="B1176">
        <f t="shared" si="161"/>
        <v>2.9999999999872393E-2</v>
      </c>
      <c r="C1176">
        <f t="shared" si="162"/>
        <v>0.13000000000012762</v>
      </c>
      <c r="D1176">
        <f t="shared" si="163"/>
        <v>8.000000000003403E-2</v>
      </c>
      <c r="E1176">
        <f t="shared" si="160"/>
        <v>8.0000000000072111E-2</v>
      </c>
      <c r="P1176">
        <f t="shared" si="164"/>
        <v>0</v>
      </c>
      <c r="Q1176">
        <f t="shared" si="165"/>
        <v>0</v>
      </c>
    </row>
    <row r="1177" spans="1:17" x14ac:dyDescent="0.45">
      <c r="A1177">
        <v>5.8499999999999002</v>
      </c>
      <c r="B1177">
        <f t="shared" si="161"/>
        <v>2.9999999999875543E-2</v>
      </c>
      <c r="C1177">
        <f t="shared" si="162"/>
        <v>0.13000000000012446</v>
      </c>
      <c r="D1177">
        <f t="shared" si="163"/>
        <v>8.0000000000033197E-2</v>
      </c>
      <c r="E1177">
        <f t="shared" si="160"/>
        <v>8.0000000000068447E-2</v>
      </c>
      <c r="P1177">
        <f t="shared" si="164"/>
        <v>0</v>
      </c>
      <c r="Q1177">
        <f t="shared" si="165"/>
        <v>0</v>
      </c>
    </row>
    <row r="1178" spans="1:17" x14ac:dyDescent="0.45">
      <c r="A1178">
        <v>5.8549999999999001</v>
      </c>
      <c r="B1178">
        <f t="shared" si="161"/>
        <v>2.999999999987861E-2</v>
      </c>
      <c r="C1178">
        <f t="shared" si="162"/>
        <v>0.13000000000012141</v>
      </c>
      <c r="D1178">
        <f t="shared" si="163"/>
        <v>8.0000000000032365E-2</v>
      </c>
      <c r="E1178">
        <f t="shared" si="160"/>
        <v>8.000000000006488E-2</v>
      </c>
      <c r="P1178">
        <f t="shared" si="164"/>
        <v>0</v>
      </c>
      <c r="Q1178">
        <f t="shared" si="165"/>
        <v>0</v>
      </c>
    </row>
    <row r="1179" spans="1:17" x14ac:dyDescent="0.45">
      <c r="A1179">
        <v>5.8599999999999</v>
      </c>
      <c r="B1179">
        <f t="shared" si="161"/>
        <v>2.9999999999881607E-2</v>
      </c>
      <c r="C1179">
        <f t="shared" si="162"/>
        <v>0.13000000000011841</v>
      </c>
      <c r="D1179">
        <f t="shared" si="163"/>
        <v>8.0000000000031574E-2</v>
      </c>
      <c r="E1179">
        <f t="shared" si="160"/>
        <v>8.0000000000061397E-2</v>
      </c>
      <c r="P1179">
        <f t="shared" si="164"/>
        <v>0</v>
      </c>
      <c r="Q1179">
        <f t="shared" si="165"/>
        <v>0</v>
      </c>
    </row>
    <row r="1180" spans="1:17" x14ac:dyDescent="0.45">
      <c r="A1180">
        <v>5.8649999999998998</v>
      </c>
      <c r="B1180">
        <f t="shared" si="161"/>
        <v>2.9999999999884536E-2</v>
      </c>
      <c r="C1180">
        <f t="shared" si="162"/>
        <v>0.13000000000011547</v>
      </c>
      <c r="D1180">
        <f t="shared" si="163"/>
        <v>8.0000000000030796E-2</v>
      </c>
      <c r="E1180">
        <f t="shared" si="160"/>
        <v>8.0000000000058011E-2</v>
      </c>
      <c r="P1180">
        <f t="shared" si="164"/>
        <v>0</v>
      </c>
      <c r="Q1180">
        <f t="shared" si="165"/>
        <v>0</v>
      </c>
    </row>
    <row r="1181" spans="1:17" x14ac:dyDescent="0.45">
      <c r="A1181">
        <v>5.8699999999998997</v>
      </c>
      <c r="B1181">
        <f t="shared" si="161"/>
        <v>2.9999999999887381E-2</v>
      </c>
      <c r="C1181">
        <f t="shared" si="162"/>
        <v>0.13000000000011264</v>
      </c>
      <c r="D1181">
        <f t="shared" si="163"/>
        <v>8.0000000000030033E-2</v>
      </c>
      <c r="E1181">
        <f t="shared" si="160"/>
        <v>8.0000000000054708E-2</v>
      </c>
      <c r="P1181">
        <f t="shared" si="164"/>
        <v>0</v>
      </c>
      <c r="Q1181">
        <f t="shared" si="165"/>
        <v>0</v>
      </c>
    </row>
    <row r="1182" spans="1:17" x14ac:dyDescent="0.45">
      <c r="A1182">
        <v>5.8749999999998996</v>
      </c>
      <c r="B1182">
        <f t="shared" si="161"/>
        <v>2.999999999989017E-2</v>
      </c>
      <c r="C1182">
        <f t="shared" si="162"/>
        <v>0.13000000000010983</v>
      </c>
      <c r="D1182">
        <f t="shared" si="163"/>
        <v>8.0000000000029298E-2</v>
      </c>
      <c r="E1182">
        <f t="shared" si="160"/>
        <v>8.0000000000051488E-2</v>
      </c>
      <c r="P1182">
        <f t="shared" si="164"/>
        <v>0</v>
      </c>
      <c r="Q1182">
        <f t="shared" si="165"/>
        <v>0</v>
      </c>
    </row>
    <row r="1183" spans="1:17" x14ac:dyDescent="0.45">
      <c r="A1183">
        <v>5.8799999999999004</v>
      </c>
      <c r="B1183">
        <f t="shared" si="161"/>
        <v>2.9999999999892876E-2</v>
      </c>
      <c r="C1183">
        <f t="shared" si="162"/>
        <v>0.13000000000010714</v>
      </c>
      <c r="D1183">
        <f t="shared" si="163"/>
        <v>8.0000000000028562E-2</v>
      </c>
      <c r="E1183">
        <f t="shared" si="160"/>
        <v>8.0000000000048366E-2</v>
      </c>
      <c r="P1183">
        <f t="shared" si="164"/>
        <v>0</v>
      </c>
      <c r="Q1183">
        <f t="shared" si="165"/>
        <v>0</v>
      </c>
    </row>
    <row r="1184" spans="1:17" x14ac:dyDescent="0.45">
      <c r="A1184">
        <v>5.8849999999999003</v>
      </c>
      <c r="B1184">
        <f t="shared" si="161"/>
        <v>2.9999999999895527E-2</v>
      </c>
      <c r="C1184">
        <f t="shared" si="162"/>
        <v>0.13000000000010448</v>
      </c>
      <c r="D1184">
        <f t="shared" si="163"/>
        <v>8.0000000000027868E-2</v>
      </c>
      <c r="E1184">
        <f t="shared" si="160"/>
        <v>8.0000000000045327E-2</v>
      </c>
      <c r="P1184">
        <f t="shared" si="164"/>
        <v>0</v>
      </c>
      <c r="Q1184">
        <f t="shared" si="165"/>
        <v>0</v>
      </c>
    </row>
    <row r="1185" spans="1:17" x14ac:dyDescent="0.45">
      <c r="A1185">
        <v>5.8899999999999002</v>
      </c>
      <c r="B1185">
        <f t="shared" si="161"/>
        <v>2.9999999999898094E-2</v>
      </c>
      <c r="C1185">
        <f t="shared" si="162"/>
        <v>0.13000000000010192</v>
      </c>
      <c r="D1185">
        <f t="shared" si="163"/>
        <v>8.0000000000027174E-2</v>
      </c>
      <c r="E1185">
        <f t="shared" si="160"/>
        <v>8.0000000000042384E-2</v>
      </c>
      <c r="P1185">
        <f t="shared" si="164"/>
        <v>0</v>
      </c>
      <c r="Q1185">
        <f t="shared" si="165"/>
        <v>0</v>
      </c>
    </row>
    <row r="1186" spans="1:17" x14ac:dyDescent="0.45">
      <c r="A1186">
        <v>5.8949999999999001</v>
      </c>
      <c r="B1186">
        <f t="shared" si="161"/>
        <v>2.999999999990062E-2</v>
      </c>
      <c r="C1186">
        <f t="shared" si="162"/>
        <v>0.13000000000009937</v>
      </c>
      <c r="D1186">
        <f t="shared" si="163"/>
        <v>8.0000000000026508E-2</v>
      </c>
      <c r="E1186">
        <f t="shared" si="160"/>
        <v>8.0000000000039526E-2</v>
      </c>
      <c r="P1186">
        <f t="shared" si="164"/>
        <v>0</v>
      </c>
      <c r="Q1186">
        <f t="shared" si="165"/>
        <v>0</v>
      </c>
    </row>
    <row r="1187" spans="1:17" x14ac:dyDescent="0.45">
      <c r="A1187">
        <v>5.8999999999999</v>
      </c>
      <c r="B1187">
        <f t="shared" si="161"/>
        <v>2.9999999999903063E-2</v>
      </c>
      <c r="C1187">
        <f t="shared" si="162"/>
        <v>0.13000000000009693</v>
      </c>
      <c r="D1187">
        <f t="shared" si="163"/>
        <v>8.0000000000025856E-2</v>
      </c>
      <c r="E1187">
        <f t="shared" si="160"/>
        <v>8.000000000003675E-2</v>
      </c>
      <c r="P1187">
        <f t="shared" si="164"/>
        <v>0</v>
      </c>
      <c r="Q1187">
        <f t="shared" si="165"/>
        <v>0</v>
      </c>
    </row>
    <row r="1188" spans="1:17" x14ac:dyDescent="0.45">
      <c r="A1188">
        <v>5.9049999999998999</v>
      </c>
      <c r="B1188">
        <f t="shared" si="161"/>
        <v>2.9999999999905463E-2</v>
      </c>
      <c r="C1188">
        <f t="shared" si="162"/>
        <v>0.13000000000009454</v>
      </c>
      <c r="D1188">
        <f t="shared" si="163"/>
        <v>8.0000000000025218E-2</v>
      </c>
      <c r="E1188">
        <f t="shared" si="160"/>
        <v>8.0000000000034058E-2</v>
      </c>
      <c r="P1188">
        <f t="shared" si="164"/>
        <v>0</v>
      </c>
      <c r="Q1188">
        <f t="shared" si="165"/>
        <v>0</v>
      </c>
    </row>
    <row r="1189" spans="1:17" x14ac:dyDescent="0.45">
      <c r="A1189">
        <v>5.9099999999998998</v>
      </c>
      <c r="B1189">
        <f t="shared" si="161"/>
        <v>2.9999999999907795E-2</v>
      </c>
      <c r="C1189">
        <f t="shared" si="162"/>
        <v>0.13000000000009221</v>
      </c>
      <c r="D1189">
        <f t="shared" si="163"/>
        <v>8.0000000000024593E-2</v>
      </c>
      <c r="E1189">
        <f t="shared" si="160"/>
        <v>8.0000000000031463E-2</v>
      </c>
      <c r="P1189">
        <f t="shared" si="164"/>
        <v>0</v>
      </c>
      <c r="Q1189">
        <f t="shared" si="165"/>
        <v>0</v>
      </c>
    </row>
    <row r="1190" spans="1:17" x14ac:dyDescent="0.45">
      <c r="A1190">
        <v>5.9149999999998997</v>
      </c>
      <c r="B1190">
        <f t="shared" si="161"/>
        <v>2.9999999999910071E-2</v>
      </c>
      <c r="C1190">
        <f t="shared" si="162"/>
        <v>0.13000000000008993</v>
      </c>
      <c r="D1190">
        <f t="shared" si="163"/>
        <v>8.0000000000023982E-2</v>
      </c>
      <c r="E1190">
        <f t="shared" si="160"/>
        <v>8.0000000000028951E-2</v>
      </c>
      <c r="P1190">
        <f t="shared" si="164"/>
        <v>0</v>
      </c>
      <c r="Q1190">
        <f t="shared" si="165"/>
        <v>0</v>
      </c>
    </row>
    <row r="1191" spans="1:17" x14ac:dyDescent="0.45">
      <c r="A1191">
        <v>5.9199999999998996</v>
      </c>
      <c r="B1191">
        <f t="shared" si="161"/>
        <v>2.9999999999912291E-2</v>
      </c>
      <c r="C1191">
        <f t="shared" si="162"/>
        <v>0.13000000000008771</v>
      </c>
      <c r="D1191">
        <f t="shared" si="163"/>
        <v>8.0000000000023386E-2</v>
      </c>
      <c r="E1191">
        <f t="shared" si="160"/>
        <v>8.0000000000026522E-2</v>
      </c>
      <c r="P1191">
        <f t="shared" si="164"/>
        <v>0</v>
      </c>
      <c r="Q1191">
        <f t="shared" si="165"/>
        <v>0</v>
      </c>
    </row>
    <row r="1192" spans="1:17" x14ac:dyDescent="0.45">
      <c r="A1192">
        <v>5.9249999999999003</v>
      </c>
      <c r="B1192">
        <f t="shared" si="161"/>
        <v>2.9999999999914456E-2</v>
      </c>
      <c r="C1192">
        <f t="shared" si="162"/>
        <v>0.13000000000008555</v>
      </c>
      <c r="D1192">
        <f t="shared" si="163"/>
        <v>8.0000000000022817E-2</v>
      </c>
      <c r="E1192">
        <f t="shared" si="160"/>
        <v>8.0000000000024177E-2</v>
      </c>
      <c r="P1192">
        <f t="shared" si="164"/>
        <v>0</v>
      </c>
      <c r="Q1192">
        <f t="shared" si="165"/>
        <v>0</v>
      </c>
    </row>
    <row r="1193" spans="1:17" x14ac:dyDescent="0.45">
      <c r="A1193">
        <v>5.9299999999999002</v>
      </c>
      <c r="B1193">
        <f t="shared" si="161"/>
        <v>2.9999999999916566E-2</v>
      </c>
      <c r="C1193">
        <f t="shared" si="162"/>
        <v>0.13000000000008344</v>
      </c>
      <c r="D1193">
        <f t="shared" si="163"/>
        <v>8.0000000000022248E-2</v>
      </c>
      <c r="E1193">
        <f t="shared" si="160"/>
        <v>8.0000000000021901E-2</v>
      </c>
      <c r="P1193">
        <f t="shared" si="164"/>
        <v>0</v>
      </c>
      <c r="Q1193">
        <f t="shared" si="165"/>
        <v>0</v>
      </c>
    </row>
    <row r="1194" spans="1:17" x14ac:dyDescent="0.45">
      <c r="A1194">
        <v>5.9349999999999001</v>
      </c>
      <c r="B1194">
        <f t="shared" si="161"/>
        <v>2.9999999999918633E-2</v>
      </c>
      <c r="C1194">
        <f t="shared" si="162"/>
        <v>0.13000000000008138</v>
      </c>
      <c r="D1194">
        <f t="shared" si="163"/>
        <v>8.0000000000021707E-2</v>
      </c>
      <c r="E1194">
        <f t="shared" si="160"/>
        <v>8.0000000000019722E-2</v>
      </c>
      <c r="P1194">
        <f t="shared" si="164"/>
        <v>0</v>
      </c>
      <c r="Q1194">
        <f t="shared" si="165"/>
        <v>0</v>
      </c>
    </row>
    <row r="1195" spans="1:17" x14ac:dyDescent="0.45">
      <c r="A1195">
        <v>5.9399999999999</v>
      </c>
      <c r="B1195">
        <f t="shared" si="161"/>
        <v>2.9999999999920646E-2</v>
      </c>
      <c r="C1195">
        <f t="shared" si="162"/>
        <v>0.13000000000007936</v>
      </c>
      <c r="D1195">
        <f t="shared" si="163"/>
        <v>8.0000000000021165E-2</v>
      </c>
      <c r="E1195">
        <f t="shared" si="160"/>
        <v>8.0000000000017626E-2</v>
      </c>
      <c r="P1195">
        <f t="shared" si="164"/>
        <v>0</v>
      </c>
      <c r="Q1195">
        <f t="shared" si="165"/>
        <v>0</v>
      </c>
    </row>
    <row r="1196" spans="1:17" x14ac:dyDescent="0.45">
      <c r="A1196">
        <v>5.9449999999998999</v>
      </c>
      <c r="B1196">
        <f t="shared" si="161"/>
        <v>2.9999999999922602E-2</v>
      </c>
      <c r="C1196">
        <f t="shared" si="162"/>
        <v>0.13000000000007739</v>
      </c>
      <c r="D1196">
        <f t="shared" si="163"/>
        <v>8.0000000000020638E-2</v>
      </c>
      <c r="E1196">
        <f t="shared" si="160"/>
        <v>8.00000000000156E-2</v>
      </c>
      <c r="P1196">
        <f t="shared" si="164"/>
        <v>0</v>
      </c>
      <c r="Q1196">
        <f t="shared" si="165"/>
        <v>0</v>
      </c>
    </row>
    <row r="1197" spans="1:17" x14ac:dyDescent="0.45">
      <c r="A1197">
        <v>5.9499999999998998</v>
      </c>
      <c r="B1197">
        <f t="shared" si="161"/>
        <v>2.9999999999924504E-2</v>
      </c>
      <c r="C1197">
        <f t="shared" si="162"/>
        <v>0.1300000000000755</v>
      </c>
      <c r="D1197">
        <f t="shared" si="163"/>
        <v>8.0000000000020138E-2</v>
      </c>
      <c r="E1197">
        <f t="shared" si="160"/>
        <v>8.0000000000013657E-2</v>
      </c>
      <c r="P1197">
        <f t="shared" si="164"/>
        <v>0</v>
      </c>
      <c r="Q1197">
        <f t="shared" si="165"/>
        <v>0</v>
      </c>
    </row>
    <row r="1198" spans="1:17" x14ac:dyDescent="0.45">
      <c r="A1198">
        <v>5.9549999999998997</v>
      </c>
      <c r="B1198">
        <f t="shared" si="161"/>
        <v>2.9999999999926377E-2</v>
      </c>
      <c r="C1198">
        <f t="shared" si="162"/>
        <v>0.13000000000007361</v>
      </c>
      <c r="D1198">
        <f t="shared" si="163"/>
        <v>8.0000000000019639E-2</v>
      </c>
      <c r="E1198">
        <f t="shared" si="160"/>
        <v>8.0000000000011784E-2</v>
      </c>
      <c r="P1198">
        <f t="shared" si="164"/>
        <v>0</v>
      </c>
      <c r="Q1198">
        <f t="shared" si="165"/>
        <v>0</v>
      </c>
    </row>
    <row r="1199" spans="1:17" x14ac:dyDescent="0.45">
      <c r="A1199">
        <v>5.9599999999998996</v>
      </c>
      <c r="B1199">
        <f t="shared" si="161"/>
        <v>2.9999999999928195E-2</v>
      </c>
      <c r="C1199">
        <f t="shared" si="162"/>
        <v>0.13000000000007181</v>
      </c>
      <c r="D1199">
        <f t="shared" si="163"/>
        <v>8.0000000000019153E-2</v>
      </c>
      <c r="E1199">
        <f t="shared" si="160"/>
        <v>8.0000000000009994E-2</v>
      </c>
      <c r="P1199">
        <f t="shared" si="164"/>
        <v>0</v>
      </c>
      <c r="Q1199">
        <f t="shared" si="165"/>
        <v>0</v>
      </c>
    </row>
    <row r="1200" spans="1:17" x14ac:dyDescent="0.45">
      <c r="A1200">
        <v>5.9649999999999004</v>
      </c>
      <c r="B1200">
        <f t="shared" si="161"/>
        <v>2.9999999999929972E-2</v>
      </c>
      <c r="C1200">
        <f t="shared" si="162"/>
        <v>0.13000000000007003</v>
      </c>
      <c r="D1200">
        <f t="shared" si="163"/>
        <v>8.0000000000018681E-2</v>
      </c>
      <c r="E1200">
        <f t="shared" si="160"/>
        <v>8.0000000000008273E-2</v>
      </c>
      <c r="P1200">
        <f t="shared" si="164"/>
        <v>0</v>
      </c>
      <c r="Q1200">
        <f t="shared" si="165"/>
        <v>0</v>
      </c>
    </row>
    <row r="1201" spans="1:17" x14ac:dyDescent="0.45">
      <c r="A1201">
        <v>5.9699999999999003</v>
      </c>
      <c r="B1201">
        <f t="shared" si="161"/>
        <v>2.9999999999931692E-2</v>
      </c>
      <c r="C1201">
        <f t="shared" si="162"/>
        <v>0.13000000000006831</v>
      </c>
      <c r="D1201">
        <f t="shared" si="163"/>
        <v>8.0000000000018223E-2</v>
      </c>
      <c r="E1201">
        <f t="shared" si="160"/>
        <v>8.0000000000006621E-2</v>
      </c>
      <c r="P1201">
        <f t="shared" si="164"/>
        <v>0</v>
      </c>
      <c r="Q1201">
        <f t="shared" si="165"/>
        <v>0</v>
      </c>
    </row>
    <row r="1202" spans="1:17" x14ac:dyDescent="0.45">
      <c r="A1202">
        <v>5.9749999999999002</v>
      </c>
      <c r="B1202">
        <f t="shared" si="161"/>
        <v>2.9999999999933386E-2</v>
      </c>
      <c r="C1202">
        <f t="shared" si="162"/>
        <v>0.13000000000006662</v>
      </c>
      <c r="D1202">
        <f t="shared" si="163"/>
        <v>8.0000000000017765E-2</v>
      </c>
      <c r="E1202">
        <f t="shared" si="160"/>
        <v>8.0000000000005053E-2</v>
      </c>
      <c r="P1202">
        <f t="shared" si="164"/>
        <v>0</v>
      </c>
      <c r="Q1202">
        <f t="shared" si="165"/>
        <v>0</v>
      </c>
    </row>
    <row r="1203" spans="1:17" x14ac:dyDescent="0.45">
      <c r="A1203">
        <v>5.9799999999999001</v>
      </c>
      <c r="B1203">
        <f t="shared" si="161"/>
        <v>2.9999999999935023E-2</v>
      </c>
      <c r="C1203">
        <f t="shared" si="162"/>
        <v>0.13000000000006498</v>
      </c>
      <c r="D1203">
        <f t="shared" si="163"/>
        <v>8.0000000000017321E-2</v>
      </c>
      <c r="E1203">
        <f t="shared" si="160"/>
        <v>8.0000000000003554E-2</v>
      </c>
      <c r="P1203">
        <f t="shared" si="164"/>
        <v>0</v>
      </c>
      <c r="Q1203">
        <f t="shared" si="165"/>
        <v>0</v>
      </c>
    </row>
    <row r="1204" spans="1:17" x14ac:dyDescent="0.45">
      <c r="A1204">
        <v>5.9849999999999</v>
      </c>
      <c r="B1204">
        <f t="shared" si="161"/>
        <v>2.9999999999936633E-2</v>
      </c>
      <c r="C1204">
        <f t="shared" si="162"/>
        <v>0.13000000000006337</v>
      </c>
      <c r="D1204">
        <f t="shared" si="163"/>
        <v>8.0000000000016905E-2</v>
      </c>
      <c r="E1204">
        <f t="shared" si="160"/>
        <v>8.0000000000002111E-2</v>
      </c>
      <c r="P1204">
        <f t="shared" si="164"/>
        <v>0</v>
      </c>
      <c r="Q1204">
        <f t="shared" si="165"/>
        <v>0</v>
      </c>
    </row>
    <row r="1205" spans="1:17" x14ac:dyDescent="0.45">
      <c r="A1205">
        <v>5.9899999999998998</v>
      </c>
      <c r="B1205">
        <f t="shared" si="161"/>
        <v>2.9999999999938187E-2</v>
      </c>
      <c r="C1205">
        <f t="shared" si="162"/>
        <v>0.13000000000006182</v>
      </c>
      <c r="D1205">
        <f t="shared" si="163"/>
        <v>8.0000000000016488E-2</v>
      </c>
      <c r="E1205">
        <f t="shared" si="160"/>
        <v>8.0000000000000751E-2</v>
      </c>
      <c r="P1205">
        <f t="shared" si="164"/>
        <v>0</v>
      </c>
      <c r="Q1205">
        <f t="shared" si="165"/>
        <v>0</v>
      </c>
    </row>
    <row r="1206" spans="1:17" x14ac:dyDescent="0.45">
      <c r="A1206">
        <v>5.9949999999998997</v>
      </c>
      <c r="B1206">
        <f t="shared" si="161"/>
        <v>2.9999999999939714E-2</v>
      </c>
      <c r="C1206">
        <f t="shared" si="162"/>
        <v>0.13000000000006029</v>
      </c>
      <c r="D1206">
        <f t="shared" si="163"/>
        <v>8.0000000000016072E-2</v>
      </c>
      <c r="E1206">
        <f t="shared" si="160"/>
        <v>7.9999999999999447E-2</v>
      </c>
      <c r="P1206">
        <f t="shared" si="164"/>
        <v>0</v>
      </c>
      <c r="Q1206">
        <f t="shared" si="165"/>
        <v>0</v>
      </c>
    </row>
    <row r="1207" spans="1:17" x14ac:dyDescent="0.45">
      <c r="A1207">
        <v>5.9999999999998996</v>
      </c>
      <c r="B1207">
        <f t="shared" si="161"/>
        <v>2.9999999999941213E-2</v>
      </c>
      <c r="C1207">
        <f t="shared" si="162"/>
        <v>0.13000000000005879</v>
      </c>
      <c r="D1207">
        <f t="shared" si="163"/>
        <v>8.0000000000015684E-2</v>
      </c>
      <c r="E1207">
        <f t="shared" si="160"/>
        <v>7.9999999999998198E-2</v>
      </c>
      <c r="P1207">
        <f t="shared" si="164"/>
        <v>0</v>
      </c>
      <c r="Q1207">
        <f t="shared" si="165"/>
        <v>0</v>
      </c>
    </row>
    <row r="1208" spans="1:17" x14ac:dyDescent="0.45">
      <c r="A1208">
        <v>6.0049999999999004</v>
      </c>
      <c r="B1208">
        <f t="shared" si="161"/>
        <v>2.9999999999942656E-2</v>
      </c>
      <c r="C1208">
        <f t="shared" si="162"/>
        <v>0.13000000000005735</v>
      </c>
      <c r="D1208">
        <f t="shared" si="163"/>
        <v>8.0000000000015295E-2</v>
      </c>
      <c r="E1208">
        <f t="shared" si="160"/>
        <v>7.9999999999997032E-2</v>
      </c>
      <c r="P1208">
        <f t="shared" si="164"/>
        <v>0</v>
      </c>
      <c r="Q1208">
        <f t="shared" si="165"/>
        <v>0</v>
      </c>
    </row>
    <row r="1209" spans="1:17" x14ac:dyDescent="0.45">
      <c r="A1209">
        <v>6.0099999999999003</v>
      </c>
      <c r="B1209">
        <f t="shared" si="161"/>
        <v>2.9999999999944071E-2</v>
      </c>
      <c r="C1209">
        <f t="shared" si="162"/>
        <v>0.13000000000005593</v>
      </c>
      <c r="D1209">
        <f t="shared" si="163"/>
        <v>8.000000000001492E-2</v>
      </c>
      <c r="E1209">
        <f t="shared" si="160"/>
        <v>7.9999999999995922E-2</v>
      </c>
      <c r="P1209">
        <f t="shared" si="164"/>
        <v>0</v>
      </c>
      <c r="Q1209">
        <f t="shared" si="165"/>
        <v>0</v>
      </c>
    </row>
    <row r="1210" spans="1:17" x14ac:dyDescent="0.45">
      <c r="A1210">
        <v>6.0149999999999002</v>
      </c>
      <c r="B1210">
        <f t="shared" si="161"/>
        <v>2.9999999999945459E-2</v>
      </c>
      <c r="C1210">
        <f t="shared" si="162"/>
        <v>0.13000000000005454</v>
      </c>
      <c r="D1210">
        <f t="shared" si="163"/>
        <v>8.0000000000014546E-2</v>
      </c>
      <c r="E1210">
        <f t="shared" si="160"/>
        <v>7.9999999999994867E-2</v>
      </c>
      <c r="P1210">
        <f t="shared" si="164"/>
        <v>0</v>
      </c>
      <c r="Q1210">
        <f t="shared" si="165"/>
        <v>0</v>
      </c>
    </row>
    <row r="1211" spans="1:17" x14ac:dyDescent="0.45">
      <c r="A1211">
        <v>6.0199999999999001</v>
      </c>
      <c r="B1211">
        <f t="shared" si="161"/>
        <v>2.9999999999946805E-2</v>
      </c>
      <c r="C1211">
        <f t="shared" si="162"/>
        <v>0.13000000000005318</v>
      </c>
      <c r="D1211">
        <f t="shared" si="163"/>
        <v>8.0000000000014185E-2</v>
      </c>
      <c r="E1211">
        <f t="shared" si="160"/>
        <v>7.9999999999993868E-2</v>
      </c>
      <c r="P1211">
        <f t="shared" si="164"/>
        <v>0</v>
      </c>
      <c r="Q1211">
        <f t="shared" si="165"/>
        <v>0</v>
      </c>
    </row>
    <row r="1212" spans="1:17" x14ac:dyDescent="0.45">
      <c r="A1212">
        <v>6.0249999999999</v>
      </c>
      <c r="B1212">
        <f t="shared" si="161"/>
        <v>2.999999999994811E-2</v>
      </c>
      <c r="C1212">
        <f t="shared" si="162"/>
        <v>0.13000000000005191</v>
      </c>
      <c r="D1212">
        <f t="shared" si="163"/>
        <v>8.0000000000013838E-2</v>
      </c>
      <c r="E1212">
        <f t="shared" si="160"/>
        <v>7.9999999999992924E-2</v>
      </c>
      <c r="P1212">
        <f t="shared" si="164"/>
        <v>0</v>
      </c>
      <c r="Q1212">
        <f t="shared" si="165"/>
        <v>0</v>
      </c>
    </row>
    <row r="1213" spans="1:17" x14ac:dyDescent="0.45">
      <c r="A1213">
        <v>6.0299999999998999</v>
      </c>
      <c r="B1213">
        <f t="shared" si="161"/>
        <v>2.99999999999494E-2</v>
      </c>
      <c r="C1213">
        <f t="shared" si="162"/>
        <v>0.1300000000000506</v>
      </c>
      <c r="D1213">
        <f t="shared" si="163"/>
        <v>8.0000000000013491E-2</v>
      </c>
      <c r="E1213">
        <f t="shared" si="160"/>
        <v>7.9999999999992036E-2</v>
      </c>
      <c r="P1213">
        <f t="shared" si="164"/>
        <v>0</v>
      </c>
      <c r="Q1213">
        <f t="shared" si="165"/>
        <v>0</v>
      </c>
    </row>
    <row r="1214" spans="1:17" x14ac:dyDescent="0.45">
      <c r="A1214">
        <v>6.0349999999998998</v>
      </c>
      <c r="B1214">
        <f t="shared" si="161"/>
        <v>2.9999999999950649E-2</v>
      </c>
      <c r="C1214">
        <f t="shared" si="162"/>
        <v>0.13000000000004935</v>
      </c>
      <c r="D1214">
        <f t="shared" si="163"/>
        <v>8.0000000000013158E-2</v>
      </c>
      <c r="E1214">
        <f t="shared" si="160"/>
        <v>7.9999999999991203E-2</v>
      </c>
      <c r="P1214">
        <f t="shared" si="164"/>
        <v>0</v>
      </c>
      <c r="Q1214">
        <f t="shared" si="165"/>
        <v>0</v>
      </c>
    </row>
    <row r="1215" spans="1:17" x14ac:dyDescent="0.45">
      <c r="A1215">
        <v>6.0399999999998997</v>
      </c>
      <c r="B1215">
        <f t="shared" si="161"/>
        <v>2.9999999999951871E-2</v>
      </c>
      <c r="C1215">
        <f t="shared" si="162"/>
        <v>0.13000000000004813</v>
      </c>
      <c r="D1215">
        <f t="shared" si="163"/>
        <v>8.0000000000012839E-2</v>
      </c>
      <c r="E1215">
        <f t="shared" si="160"/>
        <v>7.9999999999990426E-2</v>
      </c>
      <c r="P1215">
        <f t="shared" si="164"/>
        <v>0</v>
      </c>
      <c r="Q1215">
        <f t="shared" si="165"/>
        <v>0</v>
      </c>
    </row>
    <row r="1216" spans="1:17" x14ac:dyDescent="0.45">
      <c r="A1216">
        <v>6.0449999999998996</v>
      </c>
      <c r="B1216">
        <f t="shared" si="161"/>
        <v>2.999999999995305E-2</v>
      </c>
      <c r="C1216">
        <f t="shared" si="162"/>
        <v>0.13000000000004697</v>
      </c>
      <c r="D1216">
        <f t="shared" si="163"/>
        <v>8.0000000000012519E-2</v>
      </c>
      <c r="E1216">
        <f t="shared" si="160"/>
        <v>7.9999999999989704E-2</v>
      </c>
      <c r="P1216">
        <f t="shared" si="164"/>
        <v>0</v>
      </c>
      <c r="Q1216">
        <f t="shared" si="165"/>
        <v>0</v>
      </c>
    </row>
    <row r="1217" spans="1:17" x14ac:dyDescent="0.45">
      <c r="A1217">
        <v>6.0499999999999003</v>
      </c>
      <c r="B1217">
        <f t="shared" si="161"/>
        <v>2.9999999999954216E-2</v>
      </c>
      <c r="C1217">
        <f t="shared" si="162"/>
        <v>0.1300000000000458</v>
      </c>
      <c r="D1217">
        <f t="shared" si="163"/>
        <v>8.0000000000012214E-2</v>
      </c>
      <c r="E1217">
        <f t="shared" si="160"/>
        <v>7.9999999999989024E-2</v>
      </c>
      <c r="P1217">
        <f t="shared" si="164"/>
        <v>0</v>
      </c>
      <c r="Q1217">
        <f t="shared" si="165"/>
        <v>0</v>
      </c>
    </row>
    <row r="1218" spans="1:17" x14ac:dyDescent="0.45">
      <c r="A1218">
        <v>6.0549999999999002</v>
      </c>
      <c r="B1218">
        <f t="shared" si="161"/>
        <v>2.999999999995534E-2</v>
      </c>
      <c r="C1218">
        <f t="shared" si="162"/>
        <v>0.13000000000004466</v>
      </c>
      <c r="D1218">
        <f t="shared" si="163"/>
        <v>8.0000000000011909E-2</v>
      </c>
      <c r="E1218">
        <f t="shared" si="160"/>
        <v>7.9999999999988386E-2</v>
      </c>
      <c r="P1218">
        <f t="shared" si="164"/>
        <v>0</v>
      </c>
      <c r="Q1218">
        <f t="shared" si="165"/>
        <v>0</v>
      </c>
    </row>
    <row r="1219" spans="1:17" x14ac:dyDescent="0.45">
      <c r="A1219">
        <v>6.0599999999999001</v>
      </c>
      <c r="B1219">
        <f t="shared" si="161"/>
        <v>2.999999999995645E-2</v>
      </c>
      <c r="C1219">
        <f t="shared" si="162"/>
        <v>0.13000000000004355</v>
      </c>
      <c r="D1219">
        <f t="shared" si="163"/>
        <v>8.0000000000011617E-2</v>
      </c>
      <c r="E1219">
        <f t="shared" si="160"/>
        <v>7.9999999999987803E-2</v>
      </c>
      <c r="P1219">
        <f t="shared" si="164"/>
        <v>0</v>
      </c>
      <c r="Q1219">
        <f t="shared" si="165"/>
        <v>0</v>
      </c>
    </row>
    <row r="1220" spans="1:17" x14ac:dyDescent="0.45">
      <c r="A1220">
        <v>6.0649999999999</v>
      </c>
      <c r="B1220">
        <f t="shared" si="161"/>
        <v>2.9999999999957519E-2</v>
      </c>
      <c r="C1220">
        <f t="shared" si="162"/>
        <v>0.13000000000004247</v>
      </c>
      <c r="D1220">
        <f t="shared" si="163"/>
        <v>8.0000000000011326E-2</v>
      </c>
      <c r="E1220">
        <f t="shared" si="160"/>
        <v>7.9999999999987262E-2</v>
      </c>
      <c r="P1220">
        <f t="shared" si="164"/>
        <v>0</v>
      </c>
      <c r="Q1220">
        <f t="shared" si="165"/>
        <v>0</v>
      </c>
    </row>
    <row r="1221" spans="1:17" x14ac:dyDescent="0.45">
      <c r="A1221">
        <v>6.0699999999998999</v>
      </c>
      <c r="B1221">
        <f t="shared" si="161"/>
        <v>2.9999999999958574E-2</v>
      </c>
      <c r="C1221">
        <f t="shared" si="162"/>
        <v>0.13000000000004142</v>
      </c>
      <c r="D1221">
        <f t="shared" si="163"/>
        <v>8.0000000000011048E-2</v>
      </c>
      <c r="E1221">
        <f t="shared" si="160"/>
        <v>7.9999999999986776E-2</v>
      </c>
      <c r="P1221">
        <f t="shared" si="164"/>
        <v>0</v>
      </c>
      <c r="Q1221">
        <f t="shared" si="165"/>
        <v>0</v>
      </c>
    </row>
    <row r="1222" spans="1:17" x14ac:dyDescent="0.45">
      <c r="A1222">
        <v>6.0749999999998998</v>
      </c>
      <c r="B1222">
        <f t="shared" si="161"/>
        <v>2.9999999999959587E-2</v>
      </c>
      <c r="C1222">
        <f t="shared" si="162"/>
        <v>0.13000000000004042</v>
      </c>
      <c r="D1222">
        <f t="shared" si="163"/>
        <v>8.0000000000010771E-2</v>
      </c>
      <c r="E1222">
        <f t="shared" si="160"/>
        <v>7.9999999999986318E-2</v>
      </c>
      <c r="P1222">
        <f t="shared" si="164"/>
        <v>0</v>
      </c>
      <c r="Q1222">
        <f t="shared" si="165"/>
        <v>0</v>
      </c>
    </row>
    <row r="1223" spans="1:17" x14ac:dyDescent="0.45">
      <c r="A1223">
        <v>6.0799999999998997</v>
      </c>
      <c r="B1223">
        <f t="shared" si="161"/>
        <v>2.9999999999960586E-2</v>
      </c>
      <c r="C1223">
        <f t="shared" si="162"/>
        <v>0.13000000000003942</v>
      </c>
      <c r="D1223">
        <f t="shared" si="163"/>
        <v>8.0000000000010507E-2</v>
      </c>
      <c r="E1223">
        <f t="shared" ref="E1223:E1286" si="166">P0-SIGN(DeltaThetaDeg)*EXP(-Xi*Wn*A1223)*(COS(Wd*A1223)-(Xi*Wn-1)/(Wd)*SIN(Wd*A1223))*Ppeak</f>
        <v>7.9999999999985902E-2</v>
      </c>
      <c r="P1223">
        <f t="shared" si="164"/>
        <v>0</v>
      </c>
      <c r="Q1223">
        <f t="shared" si="165"/>
        <v>0</v>
      </c>
    </row>
    <row r="1224" spans="1:17" x14ac:dyDescent="0.45">
      <c r="A1224">
        <v>6.0849999999998996</v>
      </c>
      <c r="B1224">
        <f t="shared" si="161"/>
        <v>2.9999999999961557E-2</v>
      </c>
      <c r="C1224">
        <f t="shared" si="162"/>
        <v>0.13000000000003845</v>
      </c>
      <c r="D1224">
        <f t="shared" si="163"/>
        <v>8.0000000000010257E-2</v>
      </c>
      <c r="E1224">
        <f t="shared" si="166"/>
        <v>7.9999999999985527E-2</v>
      </c>
      <c r="P1224">
        <f t="shared" si="164"/>
        <v>0</v>
      </c>
      <c r="Q1224">
        <f t="shared" si="165"/>
        <v>0</v>
      </c>
    </row>
    <row r="1225" spans="1:17" x14ac:dyDescent="0.45">
      <c r="A1225">
        <v>6.0899999999999004</v>
      </c>
      <c r="B1225">
        <f t="shared" ref="B1225:B1288" si="167">P0-Ppeak*(1+Marge_haute)*EXP(-Sigma*A1223)-Tunnel</f>
        <v>2.9999999999962515E-2</v>
      </c>
      <c r="C1225">
        <f t="shared" ref="C1225:C1288" si="168">P0+Ppeak*(1+Marge_haute)*EXP(-Sigma*A1223)+Tunnel</f>
        <v>0.13000000000003747</v>
      </c>
      <c r="D1225">
        <f t="shared" ref="D1225:D1288" si="169">P0-SIGN(DeltaThetaDeg)*Marge_basse*Ppeak*EXP(-Sigma*A1223)</f>
        <v>8.0000000000009994E-2</v>
      </c>
      <c r="E1225">
        <f t="shared" si="166"/>
        <v>7.999999999998518E-2</v>
      </c>
      <c r="P1225">
        <f t="shared" si="164"/>
        <v>0</v>
      </c>
      <c r="Q1225">
        <f t="shared" si="165"/>
        <v>0</v>
      </c>
    </row>
    <row r="1226" spans="1:17" x14ac:dyDescent="0.45">
      <c r="A1226">
        <v>6.0949999999999003</v>
      </c>
      <c r="B1226">
        <f t="shared" si="167"/>
        <v>2.9999999999963431E-2</v>
      </c>
      <c r="C1226">
        <f t="shared" si="168"/>
        <v>0.13000000000003659</v>
      </c>
      <c r="D1226">
        <f t="shared" si="169"/>
        <v>8.0000000000009758E-2</v>
      </c>
      <c r="E1226">
        <f t="shared" si="166"/>
        <v>7.9999999999984875E-2</v>
      </c>
      <c r="P1226">
        <f t="shared" si="164"/>
        <v>0</v>
      </c>
      <c r="Q1226">
        <f t="shared" si="165"/>
        <v>0</v>
      </c>
    </row>
    <row r="1227" spans="1:17" x14ac:dyDescent="0.45">
      <c r="A1227">
        <v>6.0999999999999002</v>
      </c>
      <c r="B1227">
        <f t="shared" si="167"/>
        <v>2.9999999999964347E-2</v>
      </c>
      <c r="C1227">
        <f t="shared" si="168"/>
        <v>0.13000000000003564</v>
      </c>
      <c r="D1227">
        <f t="shared" si="169"/>
        <v>8.0000000000009508E-2</v>
      </c>
      <c r="E1227">
        <f t="shared" si="166"/>
        <v>7.9999999999984611E-2</v>
      </c>
      <c r="P1227">
        <f t="shared" ref="P1227:P1290" si="170">IF(EMT_simulation,N1223,N1227)</f>
        <v>0</v>
      </c>
      <c r="Q1227">
        <f t="shared" ref="Q1227:Q1290" si="171">IF(EMT_simulation,O1223,O1227)</f>
        <v>0</v>
      </c>
    </row>
    <row r="1228" spans="1:17" x14ac:dyDescent="0.45">
      <c r="A1228">
        <v>6.1049999999999001</v>
      </c>
      <c r="B1228">
        <f t="shared" si="167"/>
        <v>2.9999999999965221E-2</v>
      </c>
      <c r="C1228">
        <f t="shared" si="168"/>
        <v>0.13000000000003478</v>
      </c>
      <c r="D1228">
        <f t="shared" si="169"/>
        <v>8.0000000000009272E-2</v>
      </c>
      <c r="E1228">
        <f t="shared" si="166"/>
        <v>7.9999999999984375E-2</v>
      </c>
      <c r="P1228">
        <f t="shared" si="170"/>
        <v>0</v>
      </c>
      <c r="Q1228">
        <f t="shared" si="171"/>
        <v>0</v>
      </c>
    </row>
    <row r="1229" spans="1:17" x14ac:dyDescent="0.45">
      <c r="A1229">
        <v>6.1099999999999</v>
      </c>
      <c r="B1229">
        <f t="shared" si="167"/>
        <v>2.9999999999966082E-2</v>
      </c>
      <c r="C1229">
        <f t="shared" si="168"/>
        <v>0.13000000000003392</v>
      </c>
      <c r="D1229">
        <f t="shared" si="169"/>
        <v>8.000000000000905E-2</v>
      </c>
      <c r="E1229">
        <f t="shared" si="166"/>
        <v>7.9999999999984181E-2</v>
      </c>
      <c r="P1229">
        <f t="shared" si="170"/>
        <v>0</v>
      </c>
      <c r="Q1229">
        <f t="shared" si="171"/>
        <v>0</v>
      </c>
    </row>
    <row r="1230" spans="1:17" x14ac:dyDescent="0.45">
      <c r="A1230">
        <v>6.1149999999998998</v>
      </c>
      <c r="B1230">
        <f t="shared" si="167"/>
        <v>2.9999999999966914E-2</v>
      </c>
      <c r="C1230">
        <f t="shared" si="168"/>
        <v>0.13000000000003309</v>
      </c>
      <c r="D1230">
        <f t="shared" si="169"/>
        <v>8.0000000000008828E-2</v>
      </c>
      <c r="E1230">
        <f t="shared" si="166"/>
        <v>7.9999999999984001E-2</v>
      </c>
      <c r="P1230">
        <f t="shared" si="170"/>
        <v>0</v>
      </c>
      <c r="Q1230">
        <f t="shared" si="171"/>
        <v>0</v>
      </c>
    </row>
    <row r="1231" spans="1:17" x14ac:dyDescent="0.45">
      <c r="A1231">
        <v>6.1199999999998997</v>
      </c>
      <c r="B1231">
        <f t="shared" si="167"/>
        <v>2.9999999999967733E-2</v>
      </c>
      <c r="C1231">
        <f t="shared" si="168"/>
        <v>0.13000000000003226</v>
      </c>
      <c r="D1231">
        <f t="shared" si="169"/>
        <v>8.0000000000008606E-2</v>
      </c>
      <c r="E1231">
        <f t="shared" si="166"/>
        <v>7.9999999999983862E-2</v>
      </c>
      <c r="P1231">
        <f t="shared" si="170"/>
        <v>0</v>
      </c>
      <c r="Q1231">
        <f t="shared" si="171"/>
        <v>0</v>
      </c>
    </row>
    <row r="1232" spans="1:17" x14ac:dyDescent="0.45">
      <c r="A1232">
        <v>6.1249999999998996</v>
      </c>
      <c r="B1232">
        <f t="shared" si="167"/>
        <v>2.9999999999968524E-2</v>
      </c>
      <c r="C1232">
        <f t="shared" si="168"/>
        <v>0.13000000000003148</v>
      </c>
      <c r="D1232">
        <f t="shared" si="169"/>
        <v>8.0000000000008398E-2</v>
      </c>
      <c r="E1232">
        <f t="shared" si="166"/>
        <v>7.9999999999983751E-2</v>
      </c>
      <c r="P1232">
        <f t="shared" si="170"/>
        <v>0</v>
      </c>
      <c r="Q1232">
        <f t="shared" si="171"/>
        <v>0</v>
      </c>
    </row>
    <row r="1233" spans="1:17" x14ac:dyDescent="0.45">
      <c r="A1233">
        <v>6.1299999999999004</v>
      </c>
      <c r="B1233">
        <f t="shared" si="167"/>
        <v>2.9999999999969301E-2</v>
      </c>
      <c r="C1233">
        <f t="shared" si="168"/>
        <v>0.1300000000000307</v>
      </c>
      <c r="D1233">
        <f t="shared" si="169"/>
        <v>8.000000000000819E-2</v>
      </c>
      <c r="E1233">
        <f t="shared" si="166"/>
        <v>7.9999999999983654E-2</v>
      </c>
      <c r="P1233">
        <f t="shared" si="170"/>
        <v>0</v>
      </c>
      <c r="Q1233">
        <f t="shared" si="171"/>
        <v>0</v>
      </c>
    </row>
    <row r="1234" spans="1:17" x14ac:dyDescent="0.45">
      <c r="A1234">
        <v>6.1349999999999003</v>
      </c>
      <c r="B1234">
        <f t="shared" si="167"/>
        <v>2.9999999999970065E-2</v>
      </c>
      <c r="C1234">
        <f t="shared" si="168"/>
        <v>0.13000000000002992</v>
      </c>
      <c r="D1234">
        <f t="shared" si="169"/>
        <v>8.0000000000007981E-2</v>
      </c>
      <c r="E1234">
        <f t="shared" si="166"/>
        <v>7.9999999999983598E-2</v>
      </c>
      <c r="P1234">
        <f t="shared" si="170"/>
        <v>0</v>
      </c>
      <c r="Q1234">
        <f t="shared" si="171"/>
        <v>0</v>
      </c>
    </row>
    <row r="1235" spans="1:17" x14ac:dyDescent="0.45">
      <c r="A1235">
        <v>6.1399999999999002</v>
      </c>
      <c r="B1235">
        <f t="shared" si="167"/>
        <v>2.99999999999708E-2</v>
      </c>
      <c r="C1235">
        <f t="shared" si="168"/>
        <v>0.1300000000000292</v>
      </c>
      <c r="D1235">
        <f t="shared" si="169"/>
        <v>8.0000000000007787E-2</v>
      </c>
      <c r="E1235">
        <f t="shared" si="166"/>
        <v>7.9999999999983556E-2</v>
      </c>
      <c r="P1235">
        <f t="shared" si="170"/>
        <v>0</v>
      </c>
      <c r="Q1235">
        <f t="shared" si="171"/>
        <v>0</v>
      </c>
    </row>
    <row r="1236" spans="1:17" x14ac:dyDescent="0.45">
      <c r="A1236">
        <v>6.1449999999999001</v>
      </c>
      <c r="B1236">
        <f t="shared" si="167"/>
        <v>2.9999999999971522E-2</v>
      </c>
      <c r="C1236">
        <f t="shared" si="168"/>
        <v>0.13000000000002848</v>
      </c>
      <c r="D1236">
        <f t="shared" si="169"/>
        <v>8.0000000000007593E-2</v>
      </c>
      <c r="E1236">
        <f t="shared" si="166"/>
        <v>7.9999999999983543E-2</v>
      </c>
      <c r="P1236">
        <f t="shared" si="170"/>
        <v>0</v>
      </c>
      <c r="Q1236">
        <f t="shared" si="171"/>
        <v>0</v>
      </c>
    </row>
    <row r="1237" spans="1:17" x14ac:dyDescent="0.45">
      <c r="A1237">
        <v>6.1499999999999</v>
      </c>
      <c r="B1237">
        <f t="shared" si="167"/>
        <v>2.9999999999972229E-2</v>
      </c>
      <c r="C1237">
        <f t="shared" si="168"/>
        <v>0.13000000000002776</v>
      </c>
      <c r="D1237">
        <f t="shared" si="169"/>
        <v>8.0000000000007412E-2</v>
      </c>
      <c r="E1237">
        <f t="shared" si="166"/>
        <v>7.9999999999983556E-2</v>
      </c>
      <c r="P1237">
        <f t="shared" si="170"/>
        <v>0</v>
      </c>
      <c r="Q1237">
        <f t="shared" si="171"/>
        <v>0</v>
      </c>
    </row>
    <row r="1238" spans="1:17" x14ac:dyDescent="0.45">
      <c r="A1238">
        <v>6.1549999999998999</v>
      </c>
      <c r="B1238">
        <f t="shared" si="167"/>
        <v>2.9999999999972909E-2</v>
      </c>
      <c r="C1238">
        <f t="shared" si="168"/>
        <v>0.13000000000002709</v>
      </c>
      <c r="D1238">
        <f t="shared" si="169"/>
        <v>8.0000000000007218E-2</v>
      </c>
      <c r="E1238">
        <f t="shared" si="166"/>
        <v>7.9999999999983584E-2</v>
      </c>
      <c r="P1238">
        <f t="shared" si="170"/>
        <v>0</v>
      </c>
      <c r="Q1238">
        <f t="shared" si="171"/>
        <v>0</v>
      </c>
    </row>
    <row r="1239" spans="1:17" x14ac:dyDescent="0.45">
      <c r="A1239">
        <v>6.1599999999998998</v>
      </c>
      <c r="B1239">
        <f t="shared" si="167"/>
        <v>2.9999999999973576E-2</v>
      </c>
      <c r="C1239">
        <f t="shared" si="168"/>
        <v>0.13000000000002643</v>
      </c>
      <c r="D1239">
        <f t="shared" si="169"/>
        <v>8.0000000000007052E-2</v>
      </c>
      <c r="E1239">
        <f t="shared" si="166"/>
        <v>7.999999999998364E-2</v>
      </c>
      <c r="P1239">
        <f t="shared" si="170"/>
        <v>0</v>
      </c>
      <c r="Q1239">
        <f t="shared" si="171"/>
        <v>0</v>
      </c>
    </row>
    <row r="1240" spans="1:17" x14ac:dyDescent="0.45">
      <c r="A1240">
        <v>6.1649999999998997</v>
      </c>
      <c r="B1240">
        <f t="shared" si="167"/>
        <v>2.9999999999974228E-2</v>
      </c>
      <c r="C1240">
        <f t="shared" si="168"/>
        <v>0.13000000000002576</v>
      </c>
      <c r="D1240">
        <f t="shared" si="169"/>
        <v>8.0000000000006871E-2</v>
      </c>
      <c r="E1240">
        <f t="shared" si="166"/>
        <v>7.9999999999983709E-2</v>
      </c>
      <c r="P1240">
        <f t="shared" si="170"/>
        <v>0</v>
      </c>
      <c r="Q1240">
        <f t="shared" si="171"/>
        <v>0</v>
      </c>
    </row>
    <row r="1241" spans="1:17" x14ac:dyDescent="0.45">
      <c r="A1241">
        <v>6.1699999999998996</v>
      </c>
      <c r="B1241">
        <f t="shared" si="167"/>
        <v>2.9999999999974866E-2</v>
      </c>
      <c r="C1241">
        <f t="shared" si="168"/>
        <v>0.13000000000002515</v>
      </c>
      <c r="D1241">
        <f t="shared" si="169"/>
        <v>8.0000000000006705E-2</v>
      </c>
      <c r="E1241">
        <f t="shared" si="166"/>
        <v>7.9999999999983792E-2</v>
      </c>
      <c r="P1241">
        <f t="shared" si="170"/>
        <v>0</v>
      </c>
      <c r="Q1241">
        <f t="shared" si="171"/>
        <v>0</v>
      </c>
    </row>
    <row r="1242" spans="1:17" x14ac:dyDescent="0.45">
      <c r="A1242">
        <v>6.1749999999999003</v>
      </c>
      <c r="B1242">
        <f t="shared" si="167"/>
        <v>2.9999999999975491E-2</v>
      </c>
      <c r="C1242">
        <f t="shared" si="168"/>
        <v>0.13000000000002451</v>
      </c>
      <c r="D1242">
        <f t="shared" si="169"/>
        <v>8.0000000000006538E-2</v>
      </c>
      <c r="E1242">
        <f t="shared" si="166"/>
        <v>7.9999999999983903E-2</v>
      </c>
      <c r="P1242">
        <f t="shared" si="170"/>
        <v>0</v>
      </c>
      <c r="Q1242">
        <f t="shared" si="171"/>
        <v>0</v>
      </c>
    </row>
    <row r="1243" spans="1:17" x14ac:dyDescent="0.45">
      <c r="A1243">
        <v>6.1799999999999002</v>
      </c>
      <c r="B1243">
        <f t="shared" si="167"/>
        <v>2.9999999999976101E-2</v>
      </c>
      <c r="C1243">
        <f t="shared" si="168"/>
        <v>0.1300000000000239</v>
      </c>
      <c r="D1243">
        <f t="shared" si="169"/>
        <v>8.0000000000006372E-2</v>
      </c>
      <c r="E1243">
        <f t="shared" si="166"/>
        <v>7.9999999999984028E-2</v>
      </c>
      <c r="P1243">
        <f t="shared" si="170"/>
        <v>0</v>
      </c>
      <c r="Q1243">
        <f t="shared" si="171"/>
        <v>0</v>
      </c>
    </row>
    <row r="1244" spans="1:17" x14ac:dyDescent="0.45">
      <c r="A1244">
        <v>6.1849999999999001</v>
      </c>
      <c r="B1244">
        <f t="shared" si="167"/>
        <v>2.9999999999976684E-2</v>
      </c>
      <c r="C1244">
        <f t="shared" si="168"/>
        <v>0.13000000000002332</v>
      </c>
      <c r="D1244">
        <f t="shared" si="169"/>
        <v>8.0000000000006219E-2</v>
      </c>
      <c r="E1244">
        <f t="shared" si="166"/>
        <v>7.9999999999984153E-2</v>
      </c>
      <c r="P1244">
        <f t="shared" si="170"/>
        <v>0</v>
      </c>
      <c r="Q1244">
        <f t="shared" si="171"/>
        <v>0</v>
      </c>
    </row>
    <row r="1245" spans="1:17" x14ac:dyDescent="0.45">
      <c r="A1245">
        <v>6.1899999999999</v>
      </c>
      <c r="B1245">
        <f t="shared" si="167"/>
        <v>2.9999999999977267E-2</v>
      </c>
      <c r="C1245">
        <f t="shared" si="168"/>
        <v>0.13000000000002274</v>
      </c>
      <c r="D1245">
        <f t="shared" si="169"/>
        <v>8.0000000000006066E-2</v>
      </c>
      <c r="E1245">
        <f t="shared" si="166"/>
        <v>7.9999999999984306E-2</v>
      </c>
      <c r="P1245">
        <f t="shared" si="170"/>
        <v>0</v>
      </c>
      <c r="Q1245">
        <f t="shared" si="171"/>
        <v>0</v>
      </c>
    </row>
    <row r="1246" spans="1:17" x14ac:dyDescent="0.45">
      <c r="A1246">
        <v>6.1949999999998999</v>
      </c>
      <c r="B1246">
        <f t="shared" si="167"/>
        <v>2.9999999999977822E-2</v>
      </c>
      <c r="C1246">
        <f t="shared" si="168"/>
        <v>0.13000000000002218</v>
      </c>
      <c r="D1246">
        <f t="shared" si="169"/>
        <v>8.0000000000005914E-2</v>
      </c>
      <c r="E1246">
        <f t="shared" si="166"/>
        <v>7.9999999999984472E-2</v>
      </c>
      <c r="P1246">
        <f t="shared" si="170"/>
        <v>0</v>
      </c>
      <c r="Q1246">
        <f t="shared" si="171"/>
        <v>0</v>
      </c>
    </row>
    <row r="1247" spans="1:17" x14ac:dyDescent="0.45">
      <c r="A1247">
        <v>6.1999999999998998</v>
      </c>
      <c r="B1247">
        <f t="shared" si="167"/>
        <v>2.9999999999978377E-2</v>
      </c>
      <c r="C1247">
        <f t="shared" si="168"/>
        <v>0.13000000000002163</v>
      </c>
      <c r="D1247">
        <f t="shared" si="169"/>
        <v>8.0000000000005775E-2</v>
      </c>
      <c r="E1247">
        <f t="shared" si="166"/>
        <v>7.9999999999984653E-2</v>
      </c>
      <c r="P1247">
        <f t="shared" si="170"/>
        <v>0</v>
      </c>
      <c r="Q1247">
        <f t="shared" si="171"/>
        <v>0</v>
      </c>
    </row>
    <row r="1248" spans="1:17" x14ac:dyDescent="0.45">
      <c r="A1248">
        <v>6.2049999999998997</v>
      </c>
      <c r="B1248">
        <f t="shared" si="167"/>
        <v>2.9999999999978905E-2</v>
      </c>
      <c r="C1248">
        <f t="shared" si="168"/>
        <v>0.1300000000000211</v>
      </c>
      <c r="D1248">
        <f t="shared" si="169"/>
        <v>8.0000000000005622E-2</v>
      </c>
      <c r="E1248">
        <f t="shared" si="166"/>
        <v>7.9999999999984833E-2</v>
      </c>
      <c r="P1248">
        <f t="shared" si="170"/>
        <v>0</v>
      </c>
      <c r="Q1248">
        <f t="shared" si="171"/>
        <v>0</v>
      </c>
    </row>
    <row r="1249" spans="1:17" x14ac:dyDescent="0.45">
      <c r="A1249">
        <v>6.2099999999998996</v>
      </c>
      <c r="B1249">
        <f t="shared" si="167"/>
        <v>2.9999999999979432E-2</v>
      </c>
      <c r="C1249">
        <f t="shared" si="168"/>
        <v>0.13000000000002057</v>
      </c>
      <c r="D1249">
        <f t="shared" si="169"/>
        <v>8.0000000000005483E-2</v>
      </c>
      <c r="E1249">
        <f t="shared" si="166"/>
        <v>7.9999999999985041E-2</v>
      </c>
      <c r="P1249">
        <f t="shared" si="170"/>
        <v>0</v>
      </c>
      <c r="Q1249">
        <f t="shared" si="171"/>
        <v>0</v>
      </c>
    </row>
    <row r="1250" spans="1:17" x14ac:dyDescent="0.45">
      <c r="A1250">
        <v>6.2149999999999004</v>
      </c>
      <c r="B1250">
        <f t="shared" si="167"/>
        <v>2.9999999999979932E-2</v>
      </c>
      <c r="C1250">
        <f t="shared" si="168"/>
        <v>0.13000000000002007</v>
      </c>
      <c r="D1250">
        <f t="shared" si="169"/>
        <v>8.0000000000005358E-2</v>
      </c>
      <c r="E1250">
        <f t="shared" si="166"/>
        <v>7.999999999998525E-2</v>
      </c>
      <c r="P1250">
        <f t="shared" si="170"/>
        <v>0</v>
      </c>
      <c r="Q1250">
        <f t="shared" si="171"/>
        <v>0</v>
      </c>
    </row>
    <row r="1251" spans="1:17" x14ac:dyDescent="0.45">
      <c r="A1251">
        <v>6.2199999999999003</v>
      </c>
      <c r="B1251">
        <f t="shared" si="167"/>
        <v>2.9999999999980431E-2</v>
      </c>
      <c r="C1251">
        <f t="shared" si="168"/>
        <v>0.13000000000001957</v>
      </c>
      <c r="D1251">
        <f t="shared" si="169"/>
        <v>8.000000000000522E-2</v>
      </c>
      <c r="E1251">
        <f t="shared" si="166"/>
        <v>7.9999999999985458E-2</v>
      </c>
      <c r="P1251">
        <f t="shared" si="170"/>
        <v>0</v>
      </c>
      <c r="Q1251">
        <f t="shared" si="171"/>
        <v>0</v>
      </c>
    </row>
    <row r="1252" spans="1:17" x14ac:dyDescent="0.45">
      <c r="A1252">
        <v>6.2249999999999002</v>
      </c>
      <c r="B1252">
        <f t="shared" si="167"/>
        <v>2.9999999999980917E-2</v>
      </c>
      <c r="C1252">
        <f t="shared" si="168"/>
        <v>0.1300000000000191</v>
      </c>
      <c r="D1252">
        <f t="shared" si="169"/>
        <v>8.0000000000005095E-2</v>
      </c>
      <c r="E1252">
        <f t="shared" si="166"/>
        <v>7.9999999999985694E-2</v>
      </c>
      <c r="P1252">
        <f t="shared" si="170"/>
        <v>0</v>
      </c>
      <c r="Q1252">
        <f t="shared" si="171"/>
        <v>0</v>
      </c>
    </row>
    <row r="1253" spans="1:17" x14ac:dyDescent="0.45">
      <c r="A1253">
        <v>6.2299999999999001</v>
      </c>
      <c r="B1253">
        <f t="shared" si="167"/>
        <v>2.9999999999981389E-2</v>
      </c>
      <c r="C1253">
        <f t="shared" si="168"/>
        <v>0.1300000000000186</v>
      </c>
      <c r="D1253">
        <f t="shared" si="169"/>
        <v>8.000000000000497E-2</v>
      </c>
      <c r="E1253">
        <f t="shared" si="166"/>
        <v>7.999999999998593E-2</v>
      </c>
      <c r="P1253">
        <f t="shared" si="170"/>
        <v>0</v>
      </c>
      <c r="Q1253">
        <f t="shared" si="171"/>
        <v>0</v>
      </c>
    </row>
    <row r="1254" spans="1:17" x14ac:dyDescent="0.45">
      <c r="A1254">
        <v>6.2349999999999</v>
      </c>
      <c r="B1254">
        <f t="shared" si="167"/>
        <v>2.9999999999981847E-2</v>
      </c>
      <c r="C1254">
        <f t="shared" si="168"/>
        <v>0.13000000000001816</v>
      </c>
      <c r="D1254">
        <f t="shared" si="169"/>
        <v>8.0000000000004845E-2</v>
      </c>
      <c r="E1254">
        <f t="shared" si="166"/>
        <v>7.9999999999986166E-2</v>
      </c>
      <c r="P1254">
        <f t="shared" si="170"/>
        <v>0</v>
      </c>
      <c r="Q1254">
        <f t="shared" si="171"/>
        <v>0</v>
      </c>
    </row>
    <row r="1255" spans="1:17" x14ac:dyDescent="0.45">
      <c r="A1255">
        <v>6.2399999999998901</v>
      </c>
      <c r="B1255">
        <f t="shared" si="167"/>
        <v>2.9999999999982291E-2</v>
      </c>
      <c r="C1255">
        <f t="shared" si="168"/>
        <v>0.13000000000001771</v>
      </c>
      <c r="D1255">
        <f t="shared" si="169"/>
        <v>8.000000000000472E-2</v>
      </c>
      <c r="E1255">
        <f t="shared" si="166"/>
        <v>7.9999999999986415E-2</v>
      </c>
      <c r="P1255">
        <f t="shared" si="170"/>
        <v>0</v>
      </c>
      <c r="Q1255">
        <f t="shared" si="171"/>
        <v>0</v>
      </c>
    </row>
    <row r="1256" spans="1:17" x14ac:dyDescent="0.45">
      <c r="A1256">
        <v>6.24499999999989</v>
      </c>
      <c r="B1256">
        <f t="shared" si="167"/>
        <v>2.9999999999982735E-2</v>
      </c>
      <c r="C1256">
        <f t="shared" si="168"/>
        <v>0.13000000000001727</v>
      </c>
      <c r="D1256">
        <f t="shared" si="169"/>
        <v>8.0000000000004609E-2</v>
      </c>
      <c r="E1256">
        <f t="shared" si="166"/>
        <v>7.9999999999986665E-2</v>
      </c>
      <c r="P1256">
        <f t="shared" si="170"/>
        <v>0</v>
      </c>
      <c r="Q1256">
        <f t="shared" si="171"/>
        <v>0</v>
      </c>
    </row>
    <row r="1257" spans="1:17" x14ac:dyDescent="0.45">
      <c r="A1257">
        <v>6.2499999999998899</v>
      </c>
      <c r="B1257">
        <f t="shared" si="167"/>
        <v>2.9999999999983151E-2</v>
      </c>
      <c r="C1257">
        <f t="shared" si="168"/>
        <v>0.13000000000001685</v>
      </c>
      <c r="D1257">
        <f t="shared" si="169"/>
        <v>8.0000000000004498E-2</v>
      </c>
      <c r="E1257">
        <f t="shared" si="166"/>
        <v>7.9999999999986929E-2</v>
      </c>
      <c r="P1257">
        <f t="shared" si="170"/>
        <v>0</v>
      </c>
      <c r="Q1257">
        <f t="shared" si="171"/>
        <v>0</v>
      </c>
    </row>
    <row r="1258" spans="1:17" x14ac:dyDescent="0.45">
      <c r="A1258">
        <v>6.2549999999998898</v>
      </c>
      <c r="B1258">
        <f t="shared" si="167"/>
        <v>2.9999999999983568E-2</v>
      </c>
      <c r="C1258">
        <f t="shared" si="168"/>
        <v>0.13000000000001644</v>
      </c>
      <c r="D1258">
        <f t="shared" si="169"/>
        <v>8.0000000000004387E-2</v>
      </c>
      <c r="E1258">
        <f t="shared" si="166"/>
        <v>7.9999999999987192E-2</v>
      </c>
      <c r="P1258">
        <f t="shared" si="170"/>
        <v>0</v>
      </c>
      <c r="Q1258">
        <f t="shared" si="171"/>
        <v>0</v>
      </c>
    </row>
    <row r="1259" spans="1:17" x14ac:dyDescent="0.45">
      <c r="A1259">
        <v>6.2599999999998897</v>
      </c>
      <c r="B1259">
        <f t="shared" si="167"/>
        <v>2.999999999998397E-2</v>
      </c>
      <c r="C1259">
        <f t="shared" si="168"/>
        <v>0.13000000000001605</v>
      </c>
      <c r="D1259">
        <f t="shared" si="169"/>
        <v>8.0000000000004276E-2</v>
      </c>
      <c r="E1259">
        <f t="shared" si="166"/>
        <v>7.9999999999987456E-2</v>
      </c>
      <c r="P1259">
        <f t="shared" si="170"/>
        <v>0</v>
      </c>
      <c r="Q1259">
        <f t="shared" si="171"/>
        <v>0</v>
      </c>
    </row>
    <row r="1260" spans="1:17" x14ac:dyDescent="0.45">
      <c r="A1260">
        <v>6.2649999999998904</v>
      </c>
      <c r="B1260">
        <f t="shared" si="167"/>
        <v>2.9999999999984373E-2</v>
      </c>
      <c r="C1260">
        <f t="shared" si="168"/>
        <v>0.13000000000001563</v>
      </c>
      <c r="D1260">
        <f t="shared" si="169"/>
        <v>8.0000000000004165E-2</v>
      </c>
      <c r="E1260">
        <f t="shared" si="166"/>
        <v>7.9999999999987734E-2</v>
      </c>
      <c r="P1260">
        <f t="shared" si="170"/>
        <v>0</v>
      </c>
      <c r="Q1260">
        <f t="shared" si="171"/>
        <v>0</v>
      </c>
    </row>
    <row r="1261" spans="1:17" x14ac:dyDescent="0.45">
      <c r="A1261">
        <v>6.2699999999998903</v>
      </c>
      <c r="B1261">
        <f t="shared" si="167"/>
        <v>2.9999999999984761E-2</v>
      </c>
      <c r="C1261">
        <f t="shared" si="168"/>
        <v>0.13000000000001524</v>
      </c>
      <c r="D1261">
        <f t="shared" si="169"/>
        <v>8.0000000000004068E-2</v>
      </c>
      <c r="E1261">
        <f t="shared" si="166"/>
        <v>7.9999999999988011E-2</v>
      </c>
      <c r="P1261">
        <f t="shared" si="170"/>
        <v>0</v>
      </c>
      <c r="Q1261">
        <f t="shared" si="171"/>
        <v>0</v>
      </c>
    </row>
    <row r="1262" spans="1:17" x14ac:dyDescent="0.45">
      <c r="A1262">
        <v>6.2749999999998902</v>
      </c>
      <c r="B1262">
        <f t="shared" si="167"/>
        <v>2.9999999999985136E-2</v>
      </c>
      <c r="C1262">
        <f t="shared" si="168"/>
        <v>0.13000000000001488</v>
      </c>
      <c r="D1262">
        <f t="shared" si="169"/>
        <v>8.0000000000003971E-2</v>
      </c>
      <c r="E1262">
        <f t="shared" si="166"/>
        <v>7.9999999999988289E-2</v>
      </c>
      <c r="P1262">
        <f t="shared" si="170"/>
        <v>0</v>
      </c>
      <c r="Q1262">
        <f t="shared" si="171"/>
        <v>0</v>
      </c>
    </row>
    <row r="1263" spans="1:17" x14ac:dyDescent="0.45">
      <c r="A1263">
        <v>6.2799999999998901</v>
      </c>
      <c r="B1263">
        <f t="shared" si="167"/>
        <v>2.9999999999985497E-2</v>
      </c>
      <c r="C1263">
        <f t="shared" si="168"/>
        <v>0.13000000000001449</v>
      </c>
      <c r="D1263">
        <f t="shared" si="169"/>
        <v>8.0000000000003874E-2</v>
      </c>
      <c r="E1263">
        <f t="shared" si="166"/>
        <v>7.9999999999988566E-2</v>
      </c>
      <c r="P1263">
        <f t="shared" si="170"/>
        <v>0</v>
      </c>
      <c r="Q1263">
        <f t="shared" si="171"/>
        <v>0</v>
      </c>
    </row>
    <row r="1264" spans="1:17" x14ac:dyDescent="0.45">
      <c r="A1264">
        <v>6.28499999999989</v>
      </c>
      <c r="B1264">
        <f t="shared" si="167"/>
        <v>2.9999999999985857E-2</v>
      </c>
      <c r="C1264">
        <f t="shared" si="168"/>
        <v>0.13000000000001416</v>
      </c>
      <c r="D1264">
        <f t="shared" si="169"/>
        <v>8.0000000000003776E-2</v>
      </c>
      <c r="E1264">
        <f t="shared" si="166"/>
        <v>7.9999999999988844E-2</v>
      </c>
      <c r="P1264">
        <f t="shared" si="170"/>
        <v>0</v>
      </c>
      <c r="Q1264">
        <f t="shared" si="171"/>
        <v>0</v>
      </c>
    </row>
    <row r="1265" spans="1:17" x14ac:dyDescent="0.45">
      <c r="A1265">
        <v>6.2899999999998899</v>
      </c>
      <c r="B1265">
        <f t="shared" si="167"/>
        <v>2.9999999999986204E-2</v>
      </c>
      <c r="C1265">
        <f t="shared" si="168"/>
        <v>0.1300000000000138</v>
      </c>
      <c r="D1265">
        <f t="shared" si="169"/>
        <v>8.0000000000003679E-2</v>
      </c>
      <c r="E1265">
        <f t="shared" si="166"/>
        <v>7.9999999999989121E-2</v>
      </c>
      <c r="P1265">
        <f t="shared" si="170"/>
        <v>0</v>
      </c>
      <c r="Q1265">
        <f t="shared" si="171"/>
        <v>0</v>
      </c>
    </row>
    <row r="1266" spans="1:17" x14ac:dyDescent="0.45">
      <c r="A1266">
        <v>6.2949999999998898</v>
      </c>
      <c r="B1266">
        <f t="shared" si="167"/>
        <v>2.9999999999986551E-2</v>
      </c>
      <c r="C1266">
        <f t="shared" si="168"/>
        <v>0.13000000000001344</v>
      </c>
      <c r="D1266">
        <f t="shared" si="169"/>
        <v>8.0000000000003582E-2</v>
      </c>
      <c r="E1266">
        <f t="shared" si="166"/>
        <v>7.9999999999989399E-2</v>
      </c>
      <c r="P1266">
        <f t="shared" si="170"/>
        <v>0</v>
      </c>
      <c r="Q1266">
        <f t="shared" si="171"/>
        <v>0</v>
      </c>
    </row>
    <row r="1267" spans="1:17" x14ac:dyDescent="0.45">
      <c r="A1267">
        <v>6.2999999999998897</v>
      </c>
      <c r="B1267">
        <f t="shared" si="167"/>
        <v>2.9999999999986884E-2</v>
      </c>
      <c r="C1267">
        <f t="shared" si="168"/>
        <v>0.13000000000001311</v>
      </c>
      <c r="D1267">
        <f t="shared" si="169"/>
        <v>8.0000000000003499E-2</v>
      </c>
      <c r="E1267">
        <f t="shared" si="166"/>
        <v>7.999999999998969E-2</v>
      </c>
      <c r="P1267">
        <f t="shared" si="170"/>
        <v>0</v>
      </c>
      <c r="Q1267">
        <f t="shared" si="171"/>
        <v>0</v>
      </c>
    </row>
    <row r="1268" spans="1:17" x14ac:dyDescent="0.45">
      <c r="A1268">
        <v>6.3049999999998896</v>
      </c>
      <c r="B1268">
        <f t="shared" si="167"/>
        <v>2.9999999999987204E-2</v>
      </c>
      <c r="C1268">
        <f t="shared" si="168"/>
        <v>0.1300000000000128</v>
      </c>
      <c r="D1268">
        <f t="shared" si="169"/>
        <v>8.0000000000003416E-2</v>
      </c>
      <c r="E1268">
        <f t="shared" si="166"/>
        <v>7.9999999999989968E-2</v>
      </c>
      <c r="P1268">
        <f t="shared" si="170"/>
        <v>0</v>
      </c>
      <c r="Q1268">
        <f t="shared" si="171"/>
        <v>0</v>
      </c>
    </row>
    <row r="1269" spans="1:17" x14ac:dyDescent="0.45">
      <c r="A1269">
        <v>6.3099999999998904</v>
      </c>
      <c r="B1269">
        <f t="shared" si="167"/>
        <v>2.9999999999987523E-2</v>
      </c>
      <c r="C1269">
        <f t="shared" si="168"/>
        <v>0.13000000000001249</v>
      </c>
      <c r="D1269">
        <f t="shared" si="169"/>
        <v>8.0000000000003332E-2</v>
      </c>
      <c r="E1269">
        <f t="shared" si="166"/>
        <v>7.9999999999990246E-2</v>
      </c>
      <c r="P1269">
        <f t="shared" si="170"/>
        <v>0</v>
      </c>
      <c r="Q1269">
        <f t="shared" si="171"/>
        <v>0</v>
      </c>
    </row>
    <row r="1270" spans="1:17" x14ac:dyDescent="0.45">
      <c r="A1270">
        <v>6.3149999999998903</v>
      </c>
      <c r="B1270">
        <f t="shared" si="167"/>
        <v>2.9999999999987828E-2</v>
      </c>
      <c r="C1270">
        <f t="shared" si="168"/>
        <v>0.13000000000001216</v>
      </c>
      <c r="D1270">
        <f t="shared" si="169"/>
        <v>8.0000000000003249E-2</v>
      </c>
      <c r="E1270">
        <f t="shared" si="166"/>
        <v>7.9999999999990537E-2</v>
      </c>
      <c r="P1270">
        <f t="shared" si="170"/>
        <v>0</v>
      </c>
      <c r="Q1270">
        <f t="shared" si="171"/>
        <v>0</v>
      </c>
    </row>
    <row r="1271" spans="1:17" x14ac:dyDescent="0.45">
      <c r="A1271">
        <v>6.3199999999998902</v>
      </c>
      <c r="B1271">
        <f t="shared" si="167"/>
        <v>2.9999999999988133E-2</v>
      </c>
      <c r="C1271">
        <f t="shared" si="168"/>
        <v>0.13000000000001188</v>
      </c>
      <c r="D1271">
        <f t="shared" si="169"/>
        <v>8.0000000000003166E-2</v>
      </c>
      <c r="E1271">
        <f t="shared" si="166"/>
        <v>7.9999999999990815E-2</v>
      </c>
      <c r="P1271">
        <f t="shared" si="170"/>
        <v>0</v>
      </c>
      <c r="Q1271">
        <f t="shared" si="171"/>
        <v>0</v>
      </c>
    </row>
    <row r="1272" spans="1:17" x14ac:dyDescent="0.45">
      <c r="A1272">
        <v>6.32499999999989</v>
      </c>
      <c r="B1272">
        <f t="shared" si="167"/>
        <v>2.9999999999988425E-2</v>
      </c>
      <c r="C1272">
        <f t="shared" si="168"/>
        <v>0.13000000000001158</v>
      </c>
      <c r="D1272">
        <f t="shared" si="169"/>
        <v>8.0000000000003083E-2</v>
      </c>
      <c r="E1272">
        <f t="shared" si="166"/>
        <v>7.9999999999991092E-2</v>
      </c>
      <c r="P1272">
        <f t="shared" si="170"/>
        <v>0</v>
      </c>
      <c r="Q1272">
        <f t="shared" si="171"/>
        <v>0</v>
      </c>
    </row>
    <row r="1273" spans="1:17" x14ac:dyDescent="0.45">
      <c r="A1273">
        <v>6.3299999999998899</v>
      </c>
      <c r="B1273">
        <f t="shared" si="167"/>
        <v>2.9999999999988702E-2</v>
      </c>
      <c r="C1273">
        <f t="shared" si="168"/>
        <v>0.1300000000000113</v>
      </c>
      <c r="D1273">
        <f t="shared" si="169"/>
        <v>8.0000000000003013E-2</v>
      </c>
      <c r="E1273">
        <f t="shared" si="166"/>
        <v>7.999999999999137E-2</v>
      </c>
      <c r="P1273">
        <f t="shared" si="170"/>
        <v>0</v>
      </c>
      <c r="Q1273">
        <f t="shared" si="171"/>
        <v>0</v>
      </c>
    </row>
    <row r="1274" spans="1:17" x14ac:dyDescent="0.45">
      <c r="A1274">
        <v>6.3349999999998898</v>
      </c>
      <c r="B1274">
        <f t="shared" si="167"/>
        <v>2.9999999999988994E-2</v>
      </c>
      <c r="C1274">
        <f t="shared" si="168"/>
        <v>0.130000000000011</v>
      </c>
      <c r="D1274">
        <f t="shared" si="169"/>
        <v>8.0000000000002944E-2</v>
      </c>
      <c r="E1274">
        <f t="shared" si="166"/>
        <v>7.9999999999991633E-2</v>
      </c>
      <c r="P1274">
        <f t="shared" si="170"/>
        <v>0</v>
      </c>
      <c r="Q1274">
        <f t="shared" si="171"/>
        <v>0</v>
      </c>
    </row>
    <row r="1275" spans="1:17" x14ac:dyDescent="0.45">
      <c r="A1275">
        <v>6.3399999999998897</v>
      </c>
      <c r="B1275">
        <f t="shared" si="167"/>
        <v>2.9999999999989257E-2</v>
      </c>
      <c r="C1275">
        <f t="shared" si="168"/>
        <v>0.13000000000001075</v>
      </c>
      <c r="D1275">
        <f t="shared" si="169"/>
        <v>8.000000000000286E-2</v>
      </c>
      <c r="E1275">
        <f t="shared" si="166"/>
        <v>7.9999999999991911E-2</v>
      </c>
      <c r="P1275">
        <f t="shared" si="170"/>
        <v>0</v>
      </c>
      <c r="Q1275">
        <f t="shared" si="171"/>
        <v>0</v>
      </c>
    </row>
    <row r="1276" spans="1:17" x14ac:dyDescent="0.45">
      <c r="A1276">
        <v>6.3449999999998896</v>
      </c>
      <c r="B1276">
        <f t="shared" si="167"/>
        <v>2.9999999999989521E-2</v>
      </c>
      <c r="C1276">
        <f t="shared" si="168"/>
        <v>0.1300000000000105</v>
      </c>
      <c r="D1276">
        <f t="shared" si="169"/>
        <v>8.0000000000002791E-2</v>
      </c>
      <c r="E1276">
        <f t="shared" si="166"/>
        <v>7.9999999999992175E-2</v>
      </c>
      <c r="P1276">
        <f t="shared" si="170"/>
        <v>0</v>
      </c>
      <c r="Q1276">
        <f t="shared" si="171"/>
        <v>0</v>
      </c>
    </row>
    <row r="1277" spans="1:17" x14ac:dyDescent="0.45">
      <c r="A1277">
        <v>6.3499999999998904</v>
      </c>
      <c r="B1277">
        <f t="shared" si="167"/>
        <v>2.9999999999989785E-2</v>
      </c>
      <c r="C1277">
        <f t="shared" si="168"/>
        <v>0.13000000000001022</v>
      </c>
      <c r="D1277">
        <f t="shared" si="169"/>
        <v>8.0000000000002722E-2</v>
      </c>
      <c r="E1277">
        <f t="shared" si="166"/>
        <v>7.9999999999992452E-2</v>
      </c>
      <c r="P1277">
        <f t="shared" si="170"/>
        <v>0</v>
      </c>
      <c r="Q1277">
        <f t="shared" si="171"/>
        <v>0</v>
      </c>
    </row>
    <row r="1278" spans="1:17" x14ac:dyDescent="0.45">
      <c r="A1278">
        <v>6.3549999999998903</v>
      </c>
      <c r="B1278">
        <f t="shared" si="167"/>
        <v>2.9999999999990035E-2</v>
      </c>
      <c r="C1278">
        <f t="shared" si="168"/>
        <v>0.13000000000000997</v>
      </c>
      <c r="D1278">
        <f t="shared" si="169"/>
        <v>8.0000000000002652E-2</v>
      </c>
      <c r="E1278">
        <f t="shared" si="166"/>
        <v>7.9999999999992716E-2</v>
      </c>
      <c r="P1278">
        <f t="shared" si="170"/>
        <v>0</v>
      </c>
      <c r="Q1278">
        <f t="shared" si="171"/>
        <v>0</v>
      </c>
    </row>
    <row r="1279" spans="1:17" x14ac:dyDescent="0.45">
      <c r="A1279">
        <v>6.3599999999998902</v>
      </c>
      <c r="B1279">
        <f t="shared" si="167"/>
        <v>2.9999999999990284E-2</v>
      </c>
      <c r="C1279">
        <f t="shared" si="168"/>
        <v>0.13000000000000972</v>
      </c>
      <c r="D1279">
        <f t="shared" si="169"/>
        <v>8.0000000000002597E-2</v>
      </c>
      <c r="E1279">
        <f t="shared" si="166"/>
        <v>7.9999999999992966E-2</v>
      </c>
      <c r="P1279">
        <f t="shared" si="170"/>
        <v>0</v>
      </c>
      <c r="Q1279">
        <f t="shared" si="171"/>
        <v>0</v>
      </c>
    </row>
    <row r="1280" spans="1:17" x14ac:dyDescent="0.45">
      <c r="A1280">
        <v>6.3649999999998901</v>
      </c>
      <c r="B1280">
        <f t="shared" si="167"/>
        <v>2.999999999999052E-2</v>
      </c>
      <c r="C1280">
        <f t="shared" si="168"/>
        <v>0.1300000000000095</v>
      </c>
      <c r="D1280">
        <f t="shared" si="169"/>
        <v>8.0000000000002527E-2</v>
      </c>
      <c r="E1280">
        <f t="shared" si="166"/>
        <v>7.9999999999993229E-2</v>
      </c>
      <c r="P1280">
        <f t="shared" si="170"/>
        <v>0</v>
      </c>
      <c r="Q1280">
        <f t="shared" si="171"/>
        <v>0</v>
      </c>
    </row>
    <row r="1281" spans="1:17" x14ac:dyDescent="0.45">
      <c r="A1281">
        <v>6.36999999999989</v>
      </c>
      <c r="B1281">
        <f t="shared" si="167"/>
        <v>2.9999999999990756E-2</v>
      </c>
      <c r="C1281">
        <f t="shared" si="168"/>
        <v>0.13000000000000925</v>
      </c>
      <c r="D1281">
        <f t="shared" si="169"/>
        <v>8.0000000000002472E-2</v>
      </c>
      <c r="E1281">
        <f t="shared" si="166"/>
        <v>7.9999999999993479E-2</v>
      </c>
      <c r="P1281">
        <f t="shared" si="170"/>
        <v>0</v>
      </c>
      <c r="Q1281">
        <f t="shared" si="171"/>
        <v>0</v>
      </c>
    </row>
    <row r="1282" spans="1:17" x14ac:dyDescent="0.45">
      <c r="A1282">
        <v>6.3749999999998899</v>
      </c>
      <c r="B1282">
        <f t="shared" si="167"/>
        <v>2.9999999999990978E-2</v>
      </c>
      <c r="C1282">
        <f t="shared" si="168"/>
        <v>0.13000000000000903</v>
      </c>
      <c r="D1282">
        <f t="shared" si="169"/>
        <v>8.0000000000002403E-2</v>
      </c>
      <c r="E1282">
        <f t="shared" si="166"/>
        <v>7.9999999999993729E-2</v>
      </c>
      <c r="P1282">
        <f t="shared" si="170"/>
        <v>0</v>
      </c>
      <c r="Q1282">
        <f t="shared" si="171"/>
        <v>0</v>
      </c>
    </row>
    <row r="1283" spans="1:17" x14ac:dyDescent="0.45">
      <c r="A1283">
        <v>6.3799999999998898</v>
      </c>
      <c r="B1283">
        <f t="shared" si="167"/>
        <v>2.99999999999912E-2</v>
      </c>
      <c r="C1283">
        <f t="shared" si="168"/>
        <v>0.1300000000000088</v>
      </c>
      <c r="D1283">
        <f t="shared" si="169"/>
        <v>8.0000000000002347E-2</v>
      </c>
      <c r="E1283">
        <f t="shared" si="166"/>
        <v>7.9999999999993979E-2</v>
      </c>
      <c r="P1283">
        <f t="shared" si="170"/>
        <v>0</v>
      </c>
      <c r="Q1283">
        <f t="shared" si="171"/>
        <v>0</v>
      </c>
    </row>
    <row r="1284" spans="1:17" x14ac:dyDescent="0.45">
      <c r="A1284">
        <v>6.3849999999998897</v>
      </c>
      <c r="B1284">
        <f t="shared" si="167"/>
        <v>2.9999999999991422E-2</v>
      </c>
      <c r="C1284">
        <f t="shared" si="168"/>
        <v>0.13000000000000858</v>
      </c>
      <c r="D1284">
        <f t="shared" si="169"/>
        <v>8.0000000000002292E-2</v>
      </c>
      <c r="E1284">
        <f t="shared" si="166"/>
        <v>7.9999999999994215E-2</v>
      </c>
      <c r="P1284">
        <f t="shared" si="170"/>
        <v>0</v>
      </c>
      <c r="Q1284">
        <f t="shared" si="171"/>
        <v>0</v>
      </c>
    </row>
    <row r="1285" spans="1:17" x14ac:dyDescent="0.45">
      <c r="A1285">
        <v>6.3899999999998904</v>
      </c>
      <c r="B1285">
        <f t="shared" si="167"/>
        <v>2.9999999999991631E-2</v>
      </c>
      <c r="C1285">
        <f t="shared" si="168"/>
        <v>0.13000000000000839</v>
      </c>
      <c r="D1285">
        <f t="shared" si="169"/>
        <v>8.0000000000002236E-2</v>
      </c>
      <c r="E1285">
        <f t="shared" si="166"/>
        <v>7.9999999999994451E-2</v>
      </c>
      <c r="P1285">
        <f t="shared" si="170"/>
        <v>0</v>
      </c>
      <c r="Q1285">
        <f t="shared" si="171"/>
        <v>0</v>
      </c>
    </row>
    <row r="1286" spans="1:17" x14ac:dyDescent="0.45">
      <c r="A1286">
        <v>6.3949999999998903</v>
      </c>
      <c r="B1286">
        <f t="shared" si="167"/>
        <v>2.9999999999991839E-2</v>
      </c>
      <c r="C1286">
        <f t="shared" si="168"/>
        <v>0.13000000000000816</v>
      </c>
      <c r="D1286">
        <f t="shared" si="169"/>
        <v>8.000000000000218E-2</v>
      </c>
      <c r="E1286">
        <f t="shared" si="166"/>
        <v>7.9999999999994686E-2</v>
      </c>
      <c r="P1286">
        <f t="shared" si="170"/>
        <v>0</v>
      </c>
      <c r="Q1286">
        <f t="shared" si="171"/>
        <v>0</v>
      </c>
    </row>
    <row r="1287" spans="1:17" x14ac:dyDescent="0.45">
      <c r="A1287">
        <v>6.3999999999998902</v>
      </c>
      <c r="B1287">
        <f t="shared" si="167"/>
        <v>2.9999999999992047E-2</v>
      </c>
      <c r="C1287">
        <f t="shared" si="168"/>
        <v>0.13000000000000794</v>
      </c>
      <c r="D1287">
        <f t="shared" si="169"/>
        <v>8.0000000000002125E-2</v>
      </c>
      <c r="E1287">
        <f t="shared" ref="E1287:E1350" si="172">P0-SIGN(DeltaThetaDeg)*EXP(-Xi*Wn*A1287)*(COS(Wd*A1287)-(Xi*Wn-1)/(Wd)*SIN(Wd*A1287))*Ppeak</f>
        <v>7.9999999999994922E-2</v>
      </c>
      <c r="P1287">
        <f t="shared" si="170"/>
        <v>0</v>
      </c>
      <c r="Q1287">
        <f t="shared" si="171"/>
        <v>0</v>
      </c>
    </row>
    <row r="1288" spans="1:17" x14ac:dyDescent="0.45">
      <c r="A1288">
        <v>6.4049999999998901</v>
      </c>
      <c r="B1288">
        <f t="shared" si="167"/>
        <v>2.9999999999992241E-2</v>
      </c>
      <c r="C1288">
        <f t="shared" si="168"/>
        <v>0.13000000000000778</v>
      </c>
      <c r="D1288">
        <f t="shared" si="169"/>
        <v>8.0000000000002069E-2</v>
      </c>
      <c r="E1288">
        <f t="shared" si="172"/>
        <v>7.9999999999995144E-2</v>
      </c>
      <c r="P1288">
        <f t="shared" si="170"/>
        <v>0</v>
      </c>
      <c r="Q1288">
        <f t="shared" si="171"/>
        <v>0</v>
      </c>
    </row>
    <row r="1289" spans="1:17" x14ac:dyDescent="0.45">
      <c r="A1289">
        <v>6.40999999999989</v>
      </c>
      <c r="B1289">
        <f t="shared" ref="B1289:B1352" si="173">P0-Ppeak*(1+Marge_haute)*EXP(-Sigma*A1287)-Tunnel</f>
        <v>2.9999999999992435E-2</v>
      </c>
      <c r="C1289">
        <f t="shared" ref="C1289:C1352" si="174">P0+Ppeak*(1+Marge_haute)*EXP(-Sigma*A1287)+Tunnel</f>
        <v>0.13000000000000755</v>
      </c>
      <c r="D1289">
        <f t="shared" ref="D1289:D1352" si="175">P0-SIGN(DeltaThetaDeg)*Marge_basse*Ppeak*EXP(-Sigma*A1287)</f>
        <v>8.0000000000002014E-2</v>
      </c>
      <c r="E1289">
        <f t="shared" si="172"/>
        <v>7.9999999999995366E-2</v>
      </c>
      <c r="P1289">
        <f t="shared" si="170"/>
        <v>0</v>
      </c>
      <c r="Q1289">
        <f t="shared" si="171"/>
        <v>0</v>
      </c>
    </row>
    <row r="1290" spans="1:17" x14ac:dyDescent="0.45">
      <c r="A1290">
        <v>6.4149999999998899</v>
      </c>
      <c r="B1290">
        <f t="shared" si="173"/>
        <v>2.9999999999992616E-2</v>
      </c>
      <c r="C1290">
        <f t="shared" si="174"/>
        <v>0.13000000000000739</v>
      </c>
      <c r="D1290">
        <f t="shared" si="175"/>
        <v>8.0000000000001972E-2</v>
      </c>
      <c r="E1290">
        <f t="shared" si="172"/>
        <v>7.9999999999995575E-2</v>
      </c>
      <c r="P1290">
        <f t="shared" si="170"/>
        <v>0</v>
      </c>
      <c r="Q1290">
        <f t="shared" si="171"/>
        <v>0</v>
      </c>
    </row>
    <row r="1291" spans="1:17" x14ac:dyDescent="0.45">
      <c r="A1291">
        <v>6.4199999999998898</v>
      </c>
      <c r="B1291">
        <f t="shared" si="173"/>
        <v>2.9999999999992796E-2</v>
      </c>
      <c r="C1291">
        <f t="shared" si="174"/>
        <v>0.13000000000000722</v>
      </c>
      <c r="D1291">
        <f t="shared" si="175"/>
        <v>8.0000000000001917E-2</v>
      </c>
      <c r="E1291">
        <f t="shared" si="172"/>
        <v>7.9999999999995783E-2</v>
      </c>
      <c r="P1291">
        <f t="shared" ref="P1291:P1354" si="176">IF(EMT_simulation,N1287,N1291)</f>
        <v>0</v>
      </c>
      <c r="Q1291">
        <f t="shared" ref="Q1291:Q1354" si="177">IF(EMT_simulation,O1287,O1291)</f>
        <v>0</v>
      </c>
    </row>
    <row r="1292" spans="1:17" x14ac:dyDescent="0.45">
      <c r="A1292">
        <v>6.4249999999998897</v>
      </c>
      <c r="B1292">
        <f t="shared" si="173"/>
        <v>2.9999999999992977E-2</v>
      </c>
      <c r="C1292">
        <f t="shared" si="174"/>
        <v>0.13000000000000703</v>
      </c>
      <c r="D1292">
        <f t="shared" si="175"/>
        <v>8.0000000000001875E-2</v>
      </c>
      <c r="E1292">
        <f t="shared" si="172"/>
        <v>7.9999999999995991E-2</v>
      </c>
      <c r="P1292">
        <f t="shared" si="176"/>
        <v>0</v>
      </c>
      <c r="Q1292">
        <f t="shared" si="177"/>
        <v>0</v>
      </c>
    </row>
    <row r="1293" spans="1:17" x14ac:dyDescent="0.45">
      <c r="A1293">
        <v>6.4299999999998896</v>
      </c>
      <c r="B1293">
        <f t="shared" si="173"/>
        <v>2.9999999999993157E-2</v>
      </c>
      <c r="C1293">
        <f t="shared" si="174"/>
        <v>0.13000000000000683</v>
      </c>
      <c r="D1293">
        <f t="shared" si="175"/>
        <v>8.0000000000001834E-2</v>
      </c>
      <c r="E1293">
        <f t="shared" si="172"/>
        <v>7.9999999999996199E-2</v>
      </c>
      <c r="P1293">
        <f t="shared" si="176"/>
        <v>0</v>
      </c>
      <c r="Q1293">
        <f t="shared" si="177"/>
        <v>0</v>
      </c>
    </row>
    <row r="1294" spans="1:17" x14ac:dyDescent="0.45">
      <c r="A1294">
        <v>6.4349999999998904</v>
      </c>
      <c r="B1294">
        <f t="shared" si="173"/>
        <v>2.9999999999993324E-2</v>
      </c>
      <c r="C1294">
        <f t="shared" si="174"/>
        <v>0.13000000000000667</v>
      </c>
      <c r="D1294">
        <f t="shared" si="175"/>
        <v>8.0000000000001778E-2</v>
      </c>
      <c r="E1294">
        <f t="shared" si="172"/>
        <v>7.9999999999996393E-2</v>
      </c>
      <c r="P1294">
        <f t="shared" si="176"/>
        <v>0</v>
      </c>
      <c r="Q1294">
        <f t="shared" si="177"/>
        <v>0</v>
      </c>
    </row>
    <row r="1295" spans="1:17" x14ac:dyDescent="0.45">
      <c r="A1295">
        <v>6.4399999999998903</v>
      </c>
      <c r="B1295">
        <f t="shared" si="173"/>
        <v>2.999999999999349E-2</v>
      </c>
      <c r="C1295">
        <f t="shared" si="174"/>
        <v>0.1300000000000065</v>
      </c>
      <c r="D1295">
        <f t="shared" si="175"/>
        <v>8.0000000000001736E-2</v>
      </c>
      <c r="E1295">
        <f t="shared" si="172"/>
        <v>7.9999999999996588E-2</v>
      </c>
      <c r="P1295">
        <f t="shared" si="176"/>
        <v>0</v>
      </c>
      <c r="Q1295">
        <f t="shared" si="177"/>
        <v>0</v>
      </c>
    </row>
    <row r="1296" spans="1:17" x14ac:dyDescent="0.45">
      <c r="A1296">
        <v>6.4449999999998902</v>
      </c>
      <c r="B1296">
        <f t="shared" si="173"/>
        <v>2.9999999999993643E-2</v>
      </c>
      <c r="C1296">
        <f t="shared" si="174"/>
        <v>0.13000000000000636</v>
      </c>
      <c r="D1296">
        <f t="shared" si="175"/>
        <v>8.0000000000001695E-2</v>
      </c>
      <c r="E1296">
        <f t="shared" si="172"/>
        <v>7.9999999999996768E-2</v>
      </c>
      <c r="P1296">
        <f t="shared" si="176"/>
        <v>0</v>
      </c>
      <c r="Q1296">
        <f t="shared" si="177"/>
        <v>0</v>
      </c>
    </row>
    <row r="1297" spans="1:17" x14ac:dyDescent="0.45">
      <c r="A1297">
        <v>6.44999999999989</v>
      </c>
      <c r="B1297">
        <f t="shared" si="173"/>
        <v>2.9999999999993796E-2</v>
      </c>
      <c r="C1297">
        <f t="shared" si="174"/>
        <v>0.13000000000000622</v>
      </c>
      <c r="D1297">
        <f t="shared" si="175"/>
        <v>8.0000000000001653E-2</v>
      </c>
      <c r="E1297">
        <f t="shared" si="172"/>
        <v>7.9999999999996949E-2</v>
      </c>
      <c r="P1297">
        <f t="shared" si="176"/>
        <v>0</v>
      </c>
      <c r="Q1297">
        <f t="shared" si="177"/>
        <v>0</v>
      </c>
    </row>
    <row r="1298" spans="1:17" x14ac:dyDescent="0.45">
      <c r="A1298">
        <v>6.4549999999998899</v>
      </c>
      <c r="B1298">
        <f t="shared" si="173"/>
        <v>2.9999999999993962E-2</v>
      </c>
      <c r="C1298">
        <f t="shared" si="174"/>
        <v>0.13000000000000606</v>
      </c>
      <c r="D1298">
        <f t="shared" si="175"/>
        <v>8.0000000000001611E-2</v>
      </c>
      <c r="E1298">
        <f t="shared" si="172"/>
        <v>7.9999999999997129E-2</v>
      </c>
      <c r="P1298">
        <f t="shared" si="176"/>
        <v>0</v>
      </c>
      <c r="Q1298">
        <f t="shared" si="177"/>
        <v>0</v>
      </c>
    </row>
    <row r="1299" spans="1:17" x14ac:dyDescent="0.45">
      <c r="A1299">
        <v>6.4599999999998898</v>
      </c>
      <c r="B1299">
        <f t="shared" si="173"/>
        <v>2.9999999999994101E-2</v>
      </c>
      <c r="C1299">
        <f t="shared" si="174"/>
        <v>0.13000000000000589</v>
      </c>
      <c r="D1299">
        <f t="shared" si="175"/>
        <v>8.000000000000157E-2</v>
      </c>
      <c r="E1299">
        <f t="shared" si="172"/>
        <v>7.9999999999997295E-2</v>
      </c>
      <c r="P1299">
        <f t="shared" si="176"/>
        <v>0</v>
      </c>
      <c r="Q1299">
        <f t="shared" si="177"/>
        <v>0</v>
      </c>
    </row>
    <row r="1300" spans="1:17" x14ac:dyDescent="0.45">
      <c r="A1300">
        <v>6.4649999999998897</v>
      </c>
      <c r="B1300">
        <f t="shared" si="173"/>
        <v>2.9999999999994253E-2</v>
      </c>
      <c r="C1300">
        <f t="shared" si="174"/>
        <v>0.13000000000000575</v>
      </c>
      <c r="D1300">
        <f t="shared" si="175"/>
        <v>8.0000000000001528E-2</v>
      </c>
      <c r="E1300">
        <f t="shared" si="172"/>
        <v>7.9999999999997462E-2</v>
      </c>
      <c r="P1300">
        <f t="shared" si="176"/>
        <v>0</v>
      </c>
      <c r="Q1300">
        <f t="shared" si="177"/>
        <v>0</v>
      </c>
    </row>
    <row r="1301" spans="1:17" x14ac:dyDescent="0.45">
      <c r="A1301">
        <v>6.4699999999998896</v>
      </c>
      <c r="B1301">
        <f t="shared" si="173"/>
        <v>2.9999999999994392E-2</v>
      </c>
      <c r="C1301">
        <f t="shared" si="174"/>
        <v>0.13000000000000561</v>
      </c>
      <c r="D1301">
        <f t="shared" si="175"/>
        <v>8.00000000000015E-2</v>
      </c>
      <c r="E1301">
        <f t="shared" si="172"/>
        <v>7.9999999999997629E-2</v>
      </c>
      <c r="P1301">
        <f t="shared" si="176"/>
        <v>0</v>
      </c>
      <c r="Q1301">
        <f t="shared" si="177"/>
        <v>0</v>
      </c>
    </row>
    <row r="1302" spans="1:17" x14ac:dyDescent="0.45">
      <c r="A1302">
        <v>6.4749999999998904</v>
      </c>
      <c r="B1302">
        <f t="shared" si="173"/>
        <v>2.9999999999994531E-2</v>
      </c>
      <c r="C1302">
        <f t="shared" si="174"/>
        <v>0.13000000000000547</v>
      </c>
      <c r="D1302">
        <f t="shared" si="175"/>
        <v>8.0000000000001459E-2</v>
      </c>
      <c r="E1302">
        <f t="shared" si="172"/>
        <v>7.9999999999997781E-2</v>
      </c>
      <c r="P1302">
        <f t="shared" si="176"/>
        <v>0</v>
      </c>
      <c r="Q1302">
        <f t="shared" si="177"/>
        <v>0</v>
      </c>
    </row>
    <row r="1303" spans="1:17" x14ac:dyDescent="0.45">
      <c r="A1303">
        <v>6.4799999999998903</v>
      </c>
      <c r="B1303">
        <f t="shared" si="173"/>
        <v>2.999999999999467E-2</v>
      </c>
      <c r="C1303">
        <f t="shared" si="174"/>
        <v>0.13000000000000533</v>
      </c>
      <c r="D1303">
        <f t="shared" si="175"/>
        <v>8.0000000000001417E-2</v>
      </c>
      <c r="E1303">
        <f t="shared" si="172"/>
        <v>7.9999999999997934E-2</v>
      </c>
      <c r="P1303">
        <f t="shared" si="176"/>
        <v>0</v>
      </c>
      <c r="Q1303">
        <f t="shared" si="177"/>
        <v>0</v>
      </c>
    </row>
    <row r="1304" spans="1:17" x14ac:dyDescent="0.45">
      <c r="A1304">
        <v>6.4849999999998902</v>
      </c>
      <c r="B1304">
        <f t="shared" si="173"/>
        <v>2.9999999999994795E-2</v>
      </c>
      <c r="C1304">
        <f t="shared" si="174"/>
        <v>0.13000000000000522</v>
      </c>
      <c r="D1304">
        <f t="shared" si="175"/>
        <v>8.0000000000001389E-2</v>
      </c>
      <c r="E1304">
        <f t="shared" si="172"/>
        <v>7.9999999999998087E-2</v>
      </c>
      <c r="P1304">
        <f t="shared" si="176"/>
        <v>0</v>
      </c>
      <c r="Q1304">
        <f t="shared" si="177"/>
        <v>0</v>
      </c>
    </row>
    <row r="1305" spans="1:17" x14ac:dyDescent="0.45">
      <c r="A1305">
        <v>6.4899999999998901</v>
      </c>
      <c r="B1305">
        <f t="shared" si="173"/>
        <v>2.999999999999492E-2</v>
      </c>
      <c r="C1305">
        <f t="shared" si="174"/>
        <v>0.13000000000000508</v>
      </c>
      <c r="D1305">
        <f t="shared" si="175"/>
        <v>8.0000000000001348E-2</v>
      </c>
      <c r="E1305">
        <f t="shared" si="172"/>
        <v>7.9999999999998225E-2</v>
      </c>
      <c r="P1305">
        <f t="shared" si="176"/>
        <v>0</v>
      </c>
      <c r="Q1305">
        <f t="shared" si="177"/>
        <v>0</v>
      </c>
    </row>
    <row r="1306" spans="1:17" x14ac:dyDescent="0.45">
      <c r="A1306">
        <v>6.49499999999989</v>
      </c>
      <c r="B1306">
        <f t="shared" si="173"/>
        <v>2.9999999999995045E-2</v>
      </c>
      <c r="C1306">
        <f t="shared" si="174"/>
        <v>0.13000000000000494</v>
      </c>
      <c r="D1306">
        <f t="shared" si="175"/>
        <v>8.000000000000132E-2</v>
      </c>
      <c r="E1306">
        <f t="shared" si="172"/>
        <v>7.9999999999998364E-2</v>
      </c>
      <c r="P1306">
        <f t="shared" si="176"/>
        <v>0</v>
      </c>
      <c r="Q1306">
        <f t="shared" si="177"/>
        <v>0</v>
      </c>
    </row>
    <row r="1307" spans="1:17" x14ac:dyDescent="0.45">
      <c r="A1307">
        <v>6.4999999999998899</v>
      </c>
      <c r="B1307">
        <f t="shared" si="173"/>
        <v>2.9999999999995169E-2</v>
      </c>
      <c r="C1307">
        <f t="shared" si="174"/>
        <v>0.13000000000000483</v>
      </c>
      <c r="D1307">
        <f t="shared" si="175"/>
        <v>8.0000000000001292E-2</v>
      </c>
      <c r="E1307">
        <f t="shared" si="172"/>
        <v>7.9999999999998503E-2</v>
      </c>
      <c r="P1307">
        <f t="shared" si="176"/>
        <v>0</v>
      </c>
      <c r="Q1307">
        <f t="shared" si="177"/>
        <v>0</v>
      </c>
    </row>
    <row r="1308" spans="1:17" x14ac:dyDescent="0.45">
      <c r="A1308">
        <v>6.5049999999998898</v>
      </c>
      <c r="B1308">
        <f t="shared" si="173"/>
        <v>2.9999999999995294E-2</v>
      </c>
      <c r="C1308">
        <f t="shared" si="174"/>
        <v>0.13000000000000472</v>
      </c>
      <c r="D1308">
        <f t="shared" si="175"/>
        <v>8.0000000000001251E-2</v>
      </c>
      <c r="E1308">
        <f t="shared" si="172"/>
        <v>7.9999999999998628E-2</v>
      </c>
      <c r="P1308">
        <f t="shared" si="176"/>
        <v>0</v>
      </c>
      <c r="Q1308">
        <f t="shared" si="177"/>
        <v>0</v>
      </c>
    </row>
    <row r="1309" spans="1:17" x14ac:dyDescent="0.45">
      <c r="A1309">
        <v>6.5099999999998897</v>
      </c>
      <c r="B1309">
        <f t="shared" si="173"/>
        <v>2.9999999999995405E-2</v>
      </c>
      <c r="C1309">
        <f t="shared" si="174"/>
        <v>0.13000000000000461</v>
      </c>
      <c r="D1309">
        <f t="shared" si="175"/>
        <v>8.0000000000001223E-2</v>
      </c>
      <c r="E1309">
        <f t="shared" si="172"/>
        <v>7.9999999999998767E-2</v>
      </c>
      <c r="P1309">
        <f t="shared" si="176"/>
        <v>0</v>
      </c>
      <c r="Q1309">
        <f t="shared" si="177"/>
        <v>0</v>
      </c>
    </row>
    <row r="1310" spans="1:17" x14ac:dyDescent="0.45">
      <c r="A1310">
        <v>6.5149999999998904</v>
      </c>
      <c r="B1310">
        <f t="shared" si="173"/>
        <v>2.9999999999995516E-2</v>
      </c>
      <c r="C1310">
        <f t="shared" si="174"/>
        <v>0.1300000000000045</v>
      </c>
      <c r="D1310">
        <f t="shared" si="175"/>
        <v>8.0000000000001195E-2</v>
      </c>
      <c r="E1310">
        <f t="shared" si="172"/>
        <v>7.9999999999998878E-2</v>
      </c>
      <c r="P1310">
        <f t="shared" si="176"/>
        <v>0</v>
      </c>
      <c r="Q1310">
        <f t="shared" si="177"/>
        <v>0</v>
      </c>
    </row>
    <row r="1311" spans="1:17" x14ac:dyDescent="0.45">
      <c r="A1311">
        <v>6.5199999999998903</v>
      </c>
      <c r="B1311">
        <f t="shared" si="173"/>
        <v>2.9999999999995627E-2</v>
      </c>
      <c r="C1311">
        <f t="shared" si="174"/>
        <v>0.13000000000000439</v>
      </c>
      <c r="D1311">
        <f t="shared" si="175"/>
        <v>8.0000000000001167E-2</v>
      </c>
      <c r="E1311">
        <f t="shared" si="172"/>
        <v>7.9999999999999002E-2</v>
      </c>
      <c r="P1311">
        <f t="shared" si="176"/>
        <v>0</v>
      </c>
      <c r="Q1311">
        <f t="shared" si="177"/>
        <v>0</v>
      </c>
    </row>
    <row r="1312" spans="1:17" x14ac:dyDescent="0.45">
      <c r="A1312">
        <v>6.5249999999998902</v>
      </c>
      <c r="B1312">
        <f t="shared" si="173"/>
        <v>2.9999999999995738E-2</v>
      </c>
      <c r="C1312">
        <f t="shared" si="174"/>
        <v>0.13000000000000428</v>
      </c>
      <c r="D1312">
        <f t="shared" si="175"/>
        <v>8.000000000000114E-2</v>
      </c>
      <c r="E1312">
        <f t="shared" si="172"/>
        <v>7.9999999999999113E-2</v>
      </c>
      <c r="P1312">
        <f t="shared" si="176"/>
        <v>0</v>
      </c>
      <c r="Q1312">
        <f t="shared" si="177"/>
        <v>0</v>
      </c>
    </row>
    <row r="1313" spans="1:17" x14ac:dyDescent="0.45">
      <c r="A1313">
        <v>6.5299999999998901</v>
      </c>
      <c r="B1313">
        <f t="shared" si="173"/>
        <v>2.9999999999995849E-2</v>
      </c>
      <c r="C1313">
        <f t="shared" si="174"/>
        <v>0.13000000000000417</v>
      </c>
      <c r="D1313">
        <f t="shared" si="175"/>
        <v>8.0000000000001112E-2</v>
      </c>
      <c r="E1313">
        <f t="shared" si="172"/>
        <v>7.9999999999999211E-2</v>
      </c>
      <c r="P1313">
        <f t="shared" si="176"/>
        <v>0</v>
      </c>
      <c r="Q1313">
        <f t="shared" si="177"/>
        <v>0</v>
      </c>
    </row>
    <row r="1314" spans="1:17" x14ac:dyDescent="0.45">
      <c r="A1314">
        <v>6.53499999999989</v>
      </c>
      <c r="B1314">
        <f t="shared" si="173"/>
        <v>2.9999999999995947E-2</v>
      </c>
      <c r="C1314">
        <f t="shared" si="174"/>
        <v>0.13000000000000406</v>
      </c>
      <c r="D1314">
        <f t="shared" si="175"/>
        <v>8.0000000000001084E-2</v>
      </c>
      <c r="E1314">
        <f t="shared" si="172"/>
        <v>7.9999999999999322E-2</v>
      </c>
      <c r="P1314">
        <f t="shared" si="176"/>
        <v>0</v>
      </c>
      <c r="Q1314">
        <f t="shared" si="177"/>
        <v>0</v>
      </c>
    </row>
    <row r="1315" spans="1:17" x14ac:dyDescent="0.45">
      <c r="A1315">
        <v>6.5399999999998899</v>
      </c>
      <c r="B1315">
        <f t="shared" si="173"/>
        <v>2.9999999999996044E-2</v>
      </c>
      <c r="C1315">
        <f t="shared" si="174"/>
        <v>0.13000000000000395</v>
      </c>
      <c r="D1315">
        <f t="shared" si="175"/>
        <v>8.0000000000001056E-2</v>
      </c>
      <c r="E1315">
        <f t="shared" si="172"/>
        <v>7.9999999999999419E-2</v>
      </c>
      <c r="P1315">
        <f t="shared" si="176"/>
        <v>0</v>
      </c>
      <c r="Q1315">
        <f t="shared" si="177"/>
        <v>0</v>
      </c>
    </row>
    <row r="1316" spans="1:17" x14ac:dyDescent="0.45">
      <c r="A1316">
        <v>6.5449999999998898</v>
      </c>
      <c r="B1316">
        <f t="shared" si="173"/>
        <v>2.9999999999996141E-2</v>
      </c>
      <c r="C1316">
        <f t="shared" si="174"/>
        <v>0.13000000000000386</v>
      </c>
      <c r="D1316">
        <f t="shared" si="175"/>
        <v>8.0000000000001029E-2</v>
      </c>
      <c r="E1316">
        <f t="shared" si="172"/>
        <v>7.9999999999999516E-2</v>
      </c>
      <c r="P1316">
        <f t="shared" si="176"/>
        <v>0</v>
      </c>
      <c r="Q1316">
        <f t="shared" si="177"/>
        <v>0</v>
      </c>
    </row>
    <row r="1317" spans="1:17" x14ac:dyDescent="0.45">
      <c r="A1317">
        <v>6.5499999999998897</v>
      </c>
      <c r="B1317">
        <f t="shared" si="173"/>
        <v>2.9999999999996238E-2</v>
      </c>
      <c r="C1317">
        <f t="shared" si="174"/>
        <v>0.13000000000000378</v>
      </c>
      <c r="D1317">
        <f t="shared" si="175"/>
        <v>8.0000000000001001E-2</v>
      </c>
      <c r="E1317">
        <f t="shared" si="172"/>
        <v>7.9999999999999599E-2</v>
      </c>
      <c r="P1317">
        <f t="shared" si="176"/>
        <v>0</v>
      </c>
      <c r="Q1317">
        <f t="shared" si="177"/>
        <v>0</v>
      </c>
    </row>
    <row r="1318" spans="1:17" x14ac:dyDescent="0.45">
      <c r="A1318">
        <v>6.5549999999998896</v>
      </c>
      <c r="B1318">
        <f t="shared" si="173"/>
        <v>2.9999999999996335E-2</v>
      </c>
      <c r="C1318">
        <f t="shared" si="174"/>
        <v>0.13000000000000367</v>
      </c>
      <c r="D1318">
        <f t="shared" si="175"/>
        <v>8.0000000000000973E-2</v>
      </c>
      <c r="E1318">
        <f t="shared" si="172"/>
        <v>7.9999999999999696E-2</v>
      </c>
      <c r="P1318">
        <f t="shared" si="176"/>
        <v>0</v>
      </c>
      <c r="Q1318">
        <f t="shared" si="177"/>
        <v>0</v>
      </c>
    </row>
    <row r="1319" spans="1:17" x14ac:dyDescent="0.45">
      <c r="A1319">
        <v>6.5599999999998904</v>
      </c>
      <c r="B1319">
        <f t="shared" si="173"/>
        <v>2.9999999999996418E-2</v>
      </c>
      <c r="C1319">
        <f t="shared" si="174"/>
        <v>0.13000000000000358</v>
      </c>
      <c r="D1319">
        <f t="shared" si="175"/>
        <v>8.0000000000000959E-2</v>
      </c>
      <c r="E1319">
        <f t="shared" si="172"/>
        <v>7.999999999999978E-2</v>
      </c>
      <c r="P1319">
        <f t="shared" si="176"/>
        <v>0</v>
      </c>
      <c r="Q1319">
        <f t="shared" si="177"/>
        <v>0</v>
      </c>
    </row>
    <row r="1320" spans="1:17" x14ac:dyDescent="0.45">
      <c r="A1320">
        <v>6.5649999999998903</v>
      </c>
      <c r="B1320">
        <f t="shared" si="173"/>
        <v>2.9999999999996516E-2</v>
      </c>
      <c r="C1320">
        <f t="shared" si="174"/>
        <v>0.1300000000000035</v>
      </c>
      <c r="D1320">
        <f t="shared" si="175"/>
        <v>8.0000000000000931E-2</v>
      </c>
      <c r="E1320">
        <f t="shared" si="172"/>
        <v>7.9999999999999849E-2</v>
      </c>
      <c r="P1320">
        <f t="shared" si="176"/>
        <v>0</v>
      </c>
      <c r="Q1320">
        <f t="shared" si="177"/>
        <v>0</v>
      </c>
    </row>
    <row r="1321" spans="1:17" x14ac:dyDescent="0.45">
      <c r="A1321">
        <v>6.5699999999998902</v>
      </c>
      <c r="B1321">
        <f t="shared" si="173"/>
        <v>2.9999999999996599E-2</v>
      </c>
      <c r="C1321">
        <f t="shared" si="174"/>
        <v>0.13000000000000339</v>
      </c>
      <c r="D1321">
        <f t="shared" si="175"/>
        <v>8.0000000000000904E-2</v>
      </c>
      <c r="E1321">
        <f t="shared" si="172"/>
        <v>7.9999999999999932E-2</v>
      </c>
      <c r="P1321">
        <f t="shared" si="176"/>
        <v>0</v>
      </c>
      <c r="Q1321">
        <f t="shared" si="177"/>
        <v>0</v>
      </c>
    </row>
    <row r="1322" spans="1:17" x14ac:dyDescent="0.45">
      <c r="A1322">
        <v>6.57499999999989</v>
      </c>
      <c r="B1322">
        <f t="shared" si="173"/>
        <v>2.9999999999996682E-2</v>
      </c>
      <c r="C1322">
        <f t="shared" si="174"/>
        <v>0.13000000000000334</v>
      </c>
      <c r="D1322">
        <f t="shared" si="175"/>
        <v>8.000000000000089E-2</v>
      </c>
      <c r="E1322">
        <f t="shared" si="172"/>
        <v>0.08</v>
      </c>
      <c r="P1322">
        <f t="shared" si="176"/>
        <v>0</v>
      </c>
      <c r="Q1322">
        <f t="shared" si="177"/>
        <v>0</v>
      </c>
    </row>
    <row r="1323" spans="1:17" x14ac:dyDescent="0.45">
      <c r="A1323">
        <v>6.5799999999998899</v>
      </c>
      <c r="B1323">
        <f t="shared" si="173"/>
        <v>2.9999999999996765E-2</v>
      </c>
      <c r="C1323">
        <f t="shared" si="174"/>
        <v>0.13000000000000322</v>
      </c>
      <c r="D1323">
        <f t="shared" si="175"/>
        <v>8.0000000000000862E-2</v>
      </c>
      <c r="E1323">
        <f t="shared" si="172"/>
        <v>8.0000000000000071E-2</v>
      </c>
      <c r="P1323">
        <f t="shared" si="176"/>
        <v>0</v>
      </c>
      <c r="Q1323">
        <f t="shared" si="177"/>
        <v>0</v>
      </c>
    </row>
    <row r="1324" spans="1:17" x14ac:dyDescent="0.45">
      <c r="A1324">
        <v>6.5849999999998898</v>
      </c>
      <c r="B1324">
        <f t="shared" si="173"/>
        <v>2.9999999999996849E-2</v>
      </c>
      <c r="C1324">
        <f t="shared" si="174"/>
        <v>0.13000000000000317</v>
      </c>
      <c r="D1324">
        <f t="shared" si="175"/>
        <v>8.0000000000000848E-2</v>
      </c>
      <c r="E1324">
        <f t="shared" si="172"/>
        <v>8.000000000000014E-2</v>
      </c>
      <c r="P1324">
        <f t="shared" si="176"/>
        <v>0</v>
      </c>
      <c r="Q1324">
        <f t="shared" si="177"/>
        <v>0</v>
      </c>
    </row>
    <row r="1325" spans="1:17" x14ac:dyDescent="0.45">
      <c r="A1325">
        <v>6.5899999999998897</v>
      </c>
      <c r="B1325">
        <f t="shared" si="173"/>
        <v>2.9999999999996918E-2</v>
      </c>
      <c r="C1325">
        <f t="shared" si="174"/>
        <v>0.13000000000000309</v>
      </c>
      <c r="D1325">
        <f t="shared" si="175"/>
        <v>8.000000000000082E-2</v>
      </c>
      <c r="E1325">
        <f t="shared" si="172"/>
        <v>8.0000000000000196E-2</v>
      </c>
      <c r="P1325">
        <f t="shared" si="176"/>
        <v>0</v>
      </c>
      <c r="Q1325">
        <f t="shared" si="177"/>
        <v>0</v>
      </c>
    </row>
    <row r="1326" spans="1:17" x14ac:dyDescent="0.45">
      <c r="A1326">
        <v>6.5949999999998896</v>
      </c>
      <c r="B1326">
        <f t="shared" si="173"/>
        <v>2.9999999999997001E-2</v>
      </c>
      <c r="C1326">
        <f t="shared" si="174"/>
        <v>0.130000000000003</v>
      </c>
      <c r="D1326">
        <f t="shared" si="175"/>
        <v>8.0000000000000807E-2</v>
      </c>
      <c r="E1326">
        <f t="shared" si="172"/>
        <v>8.0000000000000265E-2</v>
      </c>
      <c r="P1326">
        <f t="shared" si="176"/>
        <v>0</v>
      </c>
      <c r="Q1326">
        <f t="shared" si="177"/>
        <v>0</v>
      </c>
    </row>
    <row r="1327" spans="1:17" x14ac:dyDescent="0.45">
      <c r="A1327">
        <v>6.5999999999998904</v>
      </c>
      <c r="B1327">
        <f t="shared" si="173"/>
        <v>2.9999999999997071E-2</v>
      </c>
      <c r="C1327">
        <f t="shared" si="174"/>
        <v>0.13000000000000295</v>
      </c>
      <c r="D1327">
        <f t="shared" si="175"/>
        <v>8.0000000000000779E-2</v>
      </c>
      <c r="E1327">
        <f t="shared" si="172"/>
        <v>8.0000000000000321E-2</v>
      </c>
      <c r="P1327">
        <f t="shared" si="176"/>
        <v>0</v>
      </c>
      <c r="Q1327">
        <f t="shared" si="177"/>
        <v>0</v>
      </c>
    </row>
    <row r="1328" spans="1:17" x14ac:dyDescent="0.45">
      <c r="A1328">
        <v>6.6049999999998903</v>
      </c>
      <c r="B1328">
        <f t="shared" si="173"/>
        <v>2.999999999999714E-2</v>
      </c>
      <c r="C1328">
        <f t="shared" si="174"/>
        <v>0.13000000000000286</v>
      </c>
      <c r="D1328">
        <f t="shared" si="175"/>
        <v>8.0000000000000765E-2</v>
      </c>
      <c r="E1328">
        <f t="shared" si="172"/>
        <v>8.0000000000000362E-2</v>
      </c>
      <c r="P1328">
        <f t="shared" si="176"/>
        <v>0</v>
      </c>
      <c r="Q1328">
        <f t="shared" si="177"/>
        <v>0</v>
      </c>
    </row>
    <row r="1329" spans="1:17" x14ac:dyDescent="0.45">
      <c r="A1329">
        <v>6.6099999999998902</v>
      </c>
      <c r="B1329">
        <f t="shared" si="173"/>
        <v>2.9999999999997209E-2</v>
      </c>
      <c r="C1329">
        <f t="shared" si="174"/>
        <v>0.13000000000000278</v>
      </c>
      <c r="D1329">
        <f t="shared" si="175"/>
        <v>8.0000000000000751E-2</v>
      </c>
      <c r="E1329">
        <f t="shared" si="172"/>
        <v>8.0000000000000418E-2</v>
      </c>
      <c r="P1329">
        <f t="shared" si="176"/>
        <v>0</v>
      </c>
      <c r="Q1329">
        <f t="shared" si="177"/>
        <v>0</v>
      </c>
    </row>
    <row r="1330" spans="1:17" x14ac:dyDescent="0.45">
      <c r="A1330">
        <v>6.6149999999998901</v>
      </c>
      <c r="B1330">
        <f t="shared" si="173"/>
        <v>2.9999999999997279E-2</v>
      </c>
      <c r="C1330">
        <f t="shared" si="174"/>
        <v>0.13000000000000272</v>
      </c>
      <c r="D1330">
        <f t="shared" si="175"/>
        <v>8.0000000000000723E-2</v>
      </c>
      <c r="E1330">
        <f t="shared" si="172"/>
        <v>8.000000000000046E-2</v>
      </c>
      <c r="P1330">
        <f t="shared" si="176"/>
        <v>0</v>
      </c>
      <c r="Q1330">
        <f t="shared" si="177"/>
        <v>0</v>
      </c>
    </row>
    <row r="1331" spans="1:17" x14ac:dyDescent="0.45">
      <c r="A1331">
        <v>6.61999999999989</v>
      </c>
      <c r="B1331">
        <f t="shared" si="173"/>
        <v>2.9999999999997348E-2</v>
      </c>
      <c r="C1331">
        <f t="shared" si="174"/>
        <v>0.13000000000000267</v>
      </c>
      <c r="D1331">
        <f t="shared" si="175"/>
        <v>8.0000000000000709E-2</v>
      </c>
      <c r="E1331">
        <f t="shared" si="172"/>
        <v>8.0000000000000501E-2</v>
      </c>
      <c r="P1331">
        <f t="shared" si="176"/>
        <v>0</v>
      </c>
      <c r="Q1331">
        <f t="shared" si="177"/>
        <v>0</v>
      </c>
    </row>
    <row r="1332" spans="1:17" x14ac:dyDescent="0.45">
      <c r="A1332">
        <v>6.6249999999998899</v>
      </c>
      <c r="B1332">
        <f t="shared" si="173"/>
        <v>2.9999999999997418E-2</v>
      </c>
      <c r="C1332">
        <f t="shared" si="174"/>
        <v>0.13000000000000259</v>
      </c>
      <c r="D1332">
        <f t="shared" si="175"/>
        <v>8.0000000000000696E-2</v>
      </c>
      <c r="E1332">
        <f t="shared" si="172"/>
        <v>8.0000000000000543E-2</v>
      </c>
      <c r="P1332">
        <f t="shared" si="176"/>
        <v>0</v>
      </c>
      <c r="Q1332">
        <f t="shared" si="177"/>
        <v>0</v>
      </c>
    </row>
    <row r="1333" spans="1:17" x14ac:dyDescent="0.45">
      <c r="A1333">
        <v>6.6299999999998898</v>
      </c>
      <c r="B1333">
        <f t="shared" si="173"/>
        <v>2.9999999999997473E-2</v>
      </c>
      <c r="C1333">
        <f t="shared" si="174"/>
        <v>0.13000000000000253</v>
      </c>
      <c r="D1333">
        <f t="shared" si="175"/>
        <v>8.0000000000000668E-2</v>
      </c>
      <c r="E1333">
        <f t="shared" si="172"/>
        <v>8.0000000000000585E-2</v>
      </c>
      <c r="P1333">
        <f t="shared" si="176"/>
        <v>0</v>
      </c>
      <c r="Q1333">
        <f t="shared" si="177"/>
        <v>0</v>
      </c>
    </row>
    <row r="1334" spans="1:17" x14ac:dyDescent="0.45">
      <c r="A1334">
        <v>6.6349999999998897</v>
      </c>
      <c r="B1334">
        <f t="shared" si="173"/>
        <v>2.9999999999997543E-2</v>
      </c>
      <c r="C1334">
        <f t="shared" si="174"/>
        <v>0.13000000000000245</v>
      </c>
      <c r="D1334">
        <f t="shared" si="175"/>
        <v>8.0000000000000654E-2</v>
      </c>
      <c r="E1334">
        <f t="shared" si="172"/>
        <v>8.0000000000000626E-2</v>
      </c>
      <c r="P1334">
        <f t="shared" si="176"/>
        <v>0</v>
      </c>
      <c r="Q1334">
        <f t="shared" si="177"/>
        <v>0</v>
      </c>
    </row>
    <row r="1335" spans="1:17" x14ac:dyDescent="0.45">
      <c r="A1335">
        <v>6.6399999999998904</v>
      </c>
      <c r="B1335">
        <f t="shared" si="173"/>
        <v>2.9999999999997598E-2</v>
      </c>
      <c r="C1335">
        <f t="shared" si="174"/>
        <v>0.13000000000000239</v>
      </c>
      <c r="D1335">
        <f t="shared" si="175"/>
        <v>8.000000000000064E-2</v>
      </c>
      <c r="E1335">
        <f t="shared" si="172"/>
        <v>8.0000000000000654E-2</v>
      </c>
      <c r="P1335">
        <f t="shared" si="176"/>
        <v>0</v>
      </c>
      <c r="Q1335">
        <f t="shared" si="177"/>
        <v>0</v>
      </c>
    </row>
    <row r="1336" spans="1:17" x14ac:dyDescent="0.45">
      <c r="A1336">
        <v>6.6449999999998903</v>
      </c>
      <c r="B1336">
        <f t="shared" si="173"/>
        <v>2.9999999999997667E-2</v>
      </c>
      <c r="C1336">
        <f t="shared" si="174"/>
        <v>0.13000000000000234</v>
      </c>
      <c r="D1336">
        <f t="shared" si="175"/>
        <v>8.0000000000000626E-2</v>
      </c>
      <c r="E1336">
        <f t="shared" si="172"/>
        <v>8.0000000000000682E-2</v>
      </c>
      <c r="P1336">
        <f t="shared" si="176"/>
        <v>0</v>
      </c>
      <c r="Q1336">
        <f t="shared" si="177"/>
        <v>0</v>
      </c>
    </row>
    <row r="1337" spans="1:17" x14ac:dyDescent="0.45">
      <c r="A1337">
        <v>6.6499999999998902</v>
      </c>
      <c r="B1337">
        <f t="shared" si="173"/>
        <v>2.9999999999997723E-2</v>
      </c>
      <c r="C1337">
        <f t="shared" si="174"/>
        <v>0.13000000000000228</v>
      </c>
      <c r="D1337">
        <f t="shared" si="175"/>
        <v>8.0000000000000612E-2</v>
      </c>
      <c r="E1337">
        <f t="shared" si="172"/>
        <v>8.0000000000000709E-2</v>
      </c>
      <c r="P1337">
        <f t="shared" si="176"/>
        <v>0</v>
      </c>
      <c r="Q1337">
        <f t="shared" si="177"/>
        <v>0</v>
      </c>
    </row>
    <row r="1338" spans="1:17" x14ac:dyDescent="0.45">
      <c r="A1338">
        <v>6.6549999999998901</v>
      </c>
      <c r="B1338">
        <f t="shared" si="173"/>
        <v>2.9999999999997778E-2</v>
      </c>
      <c r="C1338">
        <f t="shared" si="174"/>
        <v>0.13000000000000222</v>
      </c>
      <c r="D1338">
        <f t="shared" si="175"/>
        <v>8.0000000000000598E-2</v>
      </c>
      <c r="E1338">
        <f t="shared" si="172"/>
        <v>8.0000000000000737E-2</v>
      </c>
      <c r="P1338">
        <f t="shared" si="176"/>
        <v>0</v>
      </c>
      <c r="Q1338">
        <f t="shared" si="177"/>
        <v>0</v>
      </c>
    </row>
    <row r="1339" spans="1:17" x14ac:dyDescent="0.45">
      <c r="A1339">
        <v>6.65999999999989</v>
      </c>
      <c r="B1339">
        <f t="shared" si="173"/>
        <v>2.9999999999997834E-2</v>
      </c>
      <c r="C1339">
        <f t="shared" si="174"/>
        <v>0.13000000000000217</v>
      </c>
      <c r="D1339">
        <f t="shared" si="175"/>
        <v>8.0000000000000585E-2</v>
      </c>
      <c r="E1339">
        <f t="shared" si="172"/>
        <v>8.0000000000000765E-2</v>
      </c>
      <c r="P1339">
        <f t="shared" si="176"/>
        <v>0</v>
      </c>
      <c r="Q1339">
        <f t="shared" si="177"/>
        <v>0</v>
      </c>
    </row>
    <row r="1340" spans="1:17" x14ac:dyDescent="0.45">
      <c r="A1340">
        <v>6.6649999999998899</v>
      </c>
      <c r="B1340">
        <f t="shared" si="173"/>
        <v>2.9999999999997889E-2</v>
      </c>
      <c r="C1340">
        <f t="shared" si="174"/>
        <v>0.13000000000000211</v>
      </c>
      <c r="D1340">
        <f t="shared" si="175"/>
        <v>8.0000000000000571E-2</v>
      </c>
      <c r="E1340">
        <f t="shared" si="172"/>
        <v>8.0000000000000779E-2</v>
      </c>
      <c r="P1340">
        <f t="shared" si="176"/>
        <v>0</v>
      </c>
      <c r="Q1340">
        <f t="shared" si="177"/>
        <v>0</v>
      </c>
    </row>
    <row r="1341" spans="1:17" x14ac:dyDescent="0.45">
      <c r="A1341">
        <v>6.6699999999998898</v>
      </c>
      <c r="B1341">
        <f t="shared" si="173"/>
        <v>2.9999999999997931E-2</v>
      </c>
      <c r="C1341">
        <f t="shared" si="174"/>
        <v>0.13000000000000206</v>
      </c>
      <c r="D1341">
        <f t="shared" si="175"/>
        <v>8.0000000000000557E-2</v>
      </c>
      <c r="E1341">
        <f t="shared" si="172"/>
        <v>8.0000000000000807E-2</v>
      </c>
      <c r="P1341">
        <f t="shared" si="176"/>
        <v>0</v>
      </c>
      <c r="Q1341">
        <f t="shared" si="177"/>
        <v>0</v>
      </c>
    </row>
    <row r="1342" spans="1:17" x14ac:dyDescent="0.45">
      <c r="A1342">
        <v>6.6749999999998897</v>
      </c>
      <c r="B1342">
        <f t="shared" si="173"/>
        <v>2.9999999999997987E-2</v>
      </c>
      <c r="C1342">
        <f t="shared" si="174"/>
        <v>0.130000000000002</v>
      </c>
      <c r="D1342">
        <f t="shared" si="175"/>
        <v>8.0000000000000543E-2</v>
      </c>
      <c r="E1342">
        <f t="shared" si="172"/>
        <v>8.000000000000082E-2</v>
      </c>
      <c r="P1342">
        <f t="shared" si="176"/>
        <v>0</v>
      </c>
      <c r="Q1342">
        <f t="shared" si="177"/>
        <v>0</v>
      </c>
    </row>
    <row r="1343" spans="1:17" x14ac:dyDescent="0.45">
      <c r="A1343">
        <v>6.6799999999998896</v>
      </c>
      <c r="B1343">
        <f t="shared" si="173"/>
        <v>2.9999999999998042E-2</v>
      </c>
      <c r="C1343">
        <f t="shared" si="174"/>
        <v>0.13000000000000195</v>
      </c>
      <c r="D1343">
        <f t="shared" si="175"/>
        <v>8.0000000000000529E-2</v>
      </c>
      <c r="E1343">
        <f t="shared" si="172"/>
        <v>8.0000000000000834E-2</v>
      </c>
      <c r="P1343">
        <f t="shared" si="176"/>
        <v>0</v>
      </c>
      <c r="Q1343">
        <f t="shared" si="177"/>
        <v>0</v>
      </c>
    </row>
    <row r="1344" spans="1:17" x14ac:dyDescent="0.45">
      <c r="A1344">
        <v>6.6849999999998904</v>
      </c>
      <c r="B1344">
        <f t="shared" si="173"/>
        <v>2.9999999999998084E-2</v>
      </c>
      <c r="C1344">
        <f t="shared" si="174"/>
        <v>0.13000000000000192</v>
      </c>
      <c r="D1344">
        <f t="shared" si="175"/>
        <v>8.0000000000000515E-2</v>
      </c>
      <c r="E1344">
        <f t="shared" si="172"/>
        <v>8.0000000000000848E-2</v>
      </c>
      <c r="P1344">
        <f t="shared" si="176"/>
        <v>0</v>
      </c>
      <c r="Q1344">
        <f t="shared" si="177"/>
        <v>0</v>
      </c>
    </row>
    <row r="1345" spans="1:17" x14ac:dyDescent="0.45">
      <c r="A1345">
        <v>6.6899999999998903</v>
      </c>
      <c r="B1345">
        <f t="shared" si="173"/>
        <v>2.9999999999998139E-2</v>
      </c>
      <c r="C1345">
        <f t="shared" si="174"/>
        <v>0.13000000000000186</v>
      </c>
      <c r="D1345">
        <f t="shared" si="175"/>
        <v>8.0000000000000501E-2</v>
      </c>
      <c r="E1345">
        <f t="shared" si="172"/>
        <v>8.0000000000000862E-2</v>
      </c>
      <c r="P1345">
        <f t="shared" si="176"/>
        <v>0</v>
      </c>
      <c r="Q1345">
        <f t="shared" si="177"/>
        <v>0</v>
      </c>
    </row>
    <row r="1346" spans="1:17" x14ac:dyDescent="0.45">
      <c r="A1346">
        <v>6.6949999999998902</v>
      </c>
      <c r="B1346">
        <f t="shared" si="173"/>
        <v>2.9999999999998181E-2</v>
      </c>
      <c r="C1346">
        <f t="shared" si="174"/>
        <v>0.13000000000000184</v>
      </c>
      <c r="D1346">
        <f t="shared" si="175"/>
        <v>8.0000000000000487E-2</v>
      </c>
      <c r="E1346">
        <f t="shared" si="172"/>
        <v>8.0000000000000876E-2</v>
      </c>
      <c r="P1346">
        <f t="shared" si="176"/>
        <v>0</v>
      </c>
      <c r="Q1346">
        <f t="shared" si="177"/>
        <v>0</v>
      </c>
    </row>
    <row r="1347" spans="1:17" x14ac:dyDescent="0.45">
      <c r="A1347">
        <v>6.69999999999989</v>
      </c>
      <c r="B1347">
        <f t="shared" si="173"/>
        <v>2.9999999999998223E-2</v>
      </c>
      <c r="C1347">
        <f t="shared" si="174"/>
        <v>0.13000000000000178</v>
      </c>
      <c r="D1347">
        <f t="shared" si="175"/>
        <v>8.0000000000000474E-2</v>
      </c>
      <c r="E1347">
        <f t="shared" si="172"/>
        <v>8.0000000000000876E-2</v>
      </c>
      <c r="P1347">
        <f t="shared" si="176"/>
        <v>0</v>
      </c>
      <c r="Q1347">
        <f t="shared" si="177"/>
        <v>0</v>
      </c>
    </row>
    <row r="1348" spans="1:17" x14ac:dyDescent="0.45">
      <c r="A1348">
        <v>6.7049999999998802</v>
      </c>
      <c r="B1348">
        <f t="shared" si="173"/>
        <v>2.9999999999998264E-2</v>
      </c>
      <c r="C1348">
        <f t="shared" si="174"/>
        <v>0.13000000000000173</v>
      </c>
      <c r="D1348">
        <f t="shared" si="175"/>
        <v>8.000000000000046E-2</v>
      </c>
      <c r="E1348">
        <f t="shared" si="172"/>
        <v>8.000000000000089E-2</v>
      </c>
      <c r="P1348">
        <f t="shared" si="176"/>
        <v>0</v>
      </c>
      <c r="Q1348">
        <f t="shared" si="177"/>
        <v>0</v>
      </c>
    </row>
    <row r="1349" spans="1:17" x14ac:dyDescent="0.45">
      <c r="A1349">
        <v>6.7099999999998801</v>
      </c>
      <c r="B1349">
        <f t="shared" si="173"/>
        <v>2.9999999999998306E-2</v>
      </c>
      <c r="C1349">
        <f t="shared" si="174"/>
        <v>0.1300000000000017</v>
      </c>
      <c r="D1349">
        <f t="shared" si="175"/>
        <v>8.0000000000000446E-2</v>
      </c>
      <c r="E1349">
        <f t="shared" si="172"/>
        <v>8.000000000000089E-2</v>
      </c>
      <c r="P1349">
        <f t="shared" si="176"/>
        <v>0</v>
      </c>
      <c r="Q1349">
        <f t="shared" si="177"/>
        <v>0</v>
      </c>
    </row>
    <row r="1350" spans="1:17" x14ac:dyDescent="0.45">
      <c r="A1350">
        <v>6.71499999999988</v>
      </c>
      <c r="B1350">
        <f t="shared" si="173"/>
        <v>2.9999999999998347E-2</v>
      </c>
      <c r="C1350">
        <f t="shared" si="174"/>
        <v>0.13000000000000167</v>
      </c>
      <c r="D1350">
        <f t="shared" si="175"/>
        <v>8.0000000000000446E-2</v>
      </c>
      <c r="E1350">
        <f t="shared" si="172"/>
        <v>8.000000000000089E-2</v>
      </c>
      <c r="P1350">
        <f t="shared" si="176"/>
        <v>0</v>
      </c>
      <c r="Q1350">
        <f t="shared" si="177"/>
        <v>0</v>
      </c>
    </row>
    <row r="1351" spans="1:17" x14ac:dyDescent="0.45">
      <c r="A1351">
        <v>6.7199999999998798</v>
      </c>
      <c r="B1351">
        <f t="shared" si="173"/>
        <v>2.9999999999998389E-2</v>
      </c>
      <c r="C1351">
        <f t="shared" si="174"/>
        <v>0.13000000000000161</v>
      </c>
      <c r="D1351">
        <f t="shared" si="175"/>
        <v>8.0000000000000432E-2</v>
      </c>
      <c r="E1351">
        <f t="shared" ref="E1351:E1414" si="178">P0-SIGN(DeltaThetaDeg)*EXP(-Xi*Wn*A1351)*(COS(Wd*A1351)-(Xi*Wn-1)/(Wd)*SIN(Wd*A1351))*Ppeak</f>
        <v>8.000000000000089E-2</v>
      </c>
      <c r="P1351">
        <f t="shared" si="176"/>
        <v>0</v>
      </c>
      <c r="Q1351">
        <f t="shared" si="177"/>
        <v>0</v>
      </c>
    </row>
    <row r="1352" spans="1:17" x14ac:dyDescent="0.45">
      <c r="A1352">
        <v>6.7249999999998797</v>
      </c>
      <c r="B1352">
        <f t="shared" si="173"/>
        <v>2.9999999999998431E-2</v>
      </c>
      <c r="C1352">
        <f t="shared" si="174"/>
        <v>0.13000000000000156</v>
      </c>
      <c r="D1352">
        <f t="shared" si="175"/>
        <v>8.0000000000000418E-2</v>
      </c>
      <c r="E1352">
        <f t="shared" si="178"/>
        <v>8.0000000000000904E-2</v>
      </c>
      <c r="P1352">
        <f t="shared" si="176"/>
        <v>0</v>
      </c>
      <c r="Q1352">
        <f t="shared" si="177"/>
        <v>0</v>
      </c>
    </row>
    <row r="1353" spans="1:17" x14ac:dyDescent="0.45">
      <c r="A1353">
        <v>6.7299999999998796</v>
      </c>
      <c r="B1353">
        <f t="shared" ref="B1353:B1416" si="179">P0-Ppeak*(1+Marge_haute)*EXP(-Sigma*A1351)-Tunnel</f>
        <v>2.9999999999998472E-2</v>
      </c>
      <c r="C1353">
        <f t="shared" ref="C1353:C1416" si="180">P0+Ppeak*(1+Marge_haute)*EXP(-Sigma*A1351)+Tunnel</f>
        <v>0.13000000000000153</v>
      </c>
      <c r="D1353">
        <f t="shared" ref="D1353:D1416" si="181">P0-SIGN(DeltaThetaDeg)*Marge_basse*Ppeak*EXP(-Sigma*A1351)</f>
        <v>8.0000000000000404E-2</v>
      </c>
      <c r="E1353">
        <f t="shared" si="178"/>
        <v>8.0000000000000904E-2</v>
      </c>
      <c r="P1353">
        <f t="shared" si="176"/>
        <v>0</v>
      </c>
      <c r="Q1353">
        <f t="shared" si="177"/>
        <v>0</v>
      </c>
    </row>
    <row r="1354" spans="1:17" x14ac:dyDescent="0.45">
      <c r="A1354">
        <v>6.7349999999998804</v>
      </c>
      <c r="B1354">
        <f t="shared" si="179"/>
        <v>2.9999999999998514E-2</v>
      </c>
      <c r="C1354">
        <f t="shared" si="180"/>
        <v>0.1300000000000015</v>
      </c>
      <c r="D1354">
        <f t="shared" si="181"/>
        <v>8.0000000000000404E-2</v>
      </c>
      <c r="E1354">
        <f t="shared" si="178"/>
        <v>8.000000000000089E-2</v>
      </c>
      <c r="P1354">
        <f t="shared" si="176"/>
        <v>0</v>
      </c>
      <c r="Q1354">
        <f t="shared" si="177"/>
        <v>0</v>
      </c>
    </row>
    <row r="1355" spans="1:17" x14ac:dyDescent="0.45">
      <c r="A1355">
        <v>6.7399999999998803</v>
      </c>
      <c r="B1355">
        <f t="shared" si="179"/>
        <v>2.9999999999998542E-2</v>
      </c>
      <c r="C1355">
        <f t="shared" si="180"/>
        <v>0.13000000000000145</v>
      </c>
      <c r="D1355">
        <f t="shared" si="181"/>
        <v>8.000000000000039E-2</v>
      </c>
      <c r="E1355">
        <f t="shared" si="178"/>
        <v>8.000000000000089E-2</v>
      </c>
      <c r="P1355">
        <f t="shared" ref="P1355:P1418" si="182">IF(EMT_simulation,N1351,N1355)</f>
        <v>0</v>
      </c>
      <c r="Q1355">
        <f t="shared" ref="Q1355:Q1418" si="183">IF(EMT_simulation,O1351,O1355)</f>
        <v>0</v>
      </c>
    </row>
    <row r="1356" spans="1:17" x14ac:dyDescent="0.45">
      <c r="A1356">
        <v>6.7449999999998802</v>
      </c>
      <c r="B1356">
        <f t="shared" si="179"/>
        <v>2.9999999999998583E-2</v>
      </c>
      <c r="C1356">
        <f t="shared" si="180"/>
        <v>0.13000000000000142</v>
      </c>
      <c r="D1356">
        <f t="shared" si="181"/>
        <v>8.0000000000000376E-2</v>
      </c>
      <c r="E1356">
        <f t="shared" si="178"/>
        <v>8.000000000000089E-2</v>
      </c>
      <c r="P1356">
        <f t="shared" si="182"/>
        <v>0</v>
      </c>
      <c r="Q1356">
        <f t="shared" si="183"/>
        <v>0</v>
      </c>
    </row>
    <row r="1357" spans="1:17" x14ac:dyDescent="0.45">
      <c r="A1357">
        <v>6.7499999999998801</v>
      </c>
      <c r="B1357">
        <f t="shared" si="179"/>
        <v>2.9999999999998611E-2</v>
      </c>
      <c r="C1357">
        <f t="shared" si="180"/>
        <v>0.13000000000000139</v>
      </c>
      <c r="D1357">
        <f t="shared" si="181"/>
        <v>8.0000000000000376E-2</v>
      </c>
      <c r="E1357">
        <f t="shared" si="178"/>
        <v>8.000000000000089E-2</v>
      </c>
      <c r="P1357">
        <f t="shared" si="182"/>
        <v>0</v>
      </c>
      <c r="Q1357">
        <f t="shared" si="183"/>
        <v>0</v>
      </c>
    </row>
    <row r="1358" spans="1:17" x14ac:dyDescent="0.45">
      <c r="A1358">
        <v>6.75499999999988</v>
      </c>
      <c r="B1358">
        <f t="shared" si="179"/>
        <v>2.9999999999998653E-2</v>
      </c>
      <c r="C1358">
        <f t="shared" si="180"/>
        <v>0.13000000000000134</v>
      </c>
      <c r="D1358">
        <f t="shared" si="181"/>
        <v>8.0000000000000362E-2</v>
      </c>
      <c r="E1358">
        <f t="shared" si="178"/>
        <v>8.0000000000000876E-2</v>
      </c>
      <c r="P1358">
        <f t="shared" si="182"/>
        <v>0</v>
      </c>
      <c r="Q1358">
        <f t="shared" si="183"/>
        <v>0</v>
      </c>
    </row>
    <row r="1359" spans="1:17" x14ac:dyDescent="0.45">
      <c r="A1359">
        <v>6.7599999999998799</v>
      </c>
      <c r="B1359">
        <f t="shared" si="179"/>
        <v>2.999999999999868E-2</v>
      </c>
      <c r="C1359">
        <f t="shared" si="180"/>
        <v>0.13000000000000134</v>
      </c>
      <c r="D1359">
        <f t="shared" si="181"/>
        <v>8.0000000000000349E-2</v>
      </c>
      <c r="E1359">
        <f t="shared" si="178"/>
        <v>8.0000000000000876E-2</v>
      </c>
      <c r="P1359">
        <f t="shared" si="182"/>
        <v>0</v>
      </c>
      <c r="Q1359">
        <f t="shared" si="183"/>
        <v>0</v>
      </c>
    </row>
    <row r="1360" spans="1:17" x14ac:dyDescent="0.45">
      <c r="A1360">
        <v>6.7649999999998798</v>
      </c>
      <c r="B1360">
        <f t="shared" si="179"/>
        <v>2.9999999999998722E-2</v>
      </c>
      <c r="C1360">
        <f t="shared" si="180"/>
        <v>0.13000000000000128</v>
      </c>
      <c r="D1360">
        <f t="shared" si="181"/>
        <v>8.0000000000000349E-2</v>
      </c>
      <c r="E1360">
        <f t="shared" si="178"/>
        <v>8.0000000000000862E-2</v>
      </c>
      <c r="P1360">
        <f t="shared" si="182"/>
        <v>0</v>
      </c>
      <c r="Q1360">
        <f t="shared" si="183"/>
        <v>0</v>
      </c>
    </row>
    <row r="1361" spans="1:17" x14ac:dyDescent="0.45">
      <c r="A1361">
        <v>6.7699999999998797</v>
      </c>
      <c r="B1361">
        <f t="shared" si="179"/>
        <v>2.999999999999875E-2</v>
      </c>
      <c r="C1361">
        <f t="shared" si="180"/>
        <v>0.13000000000000125</v>
      </c>
      <c r="D1361">
        <f t="shared" si="181"/>
        <v>8.0000000000000335E-2</v>
      </c>
      <c r="E1361">
        <f t="shared" si="178"/>
        <v>8.0000000000000862E-2</v>
      </c>
      <c r="P1361">
        <f t="shared" si="182"/>
        <v>0</v>
      </c>
      <c r="Q1361">
        <f t="shared" si="183"/>
        <v>0</v>
      </c>
    </row>
    <row r="1362" spans="1:17" x14ac:dyDescent="0.45">
      <c r="A1362">
        <v>6.7749999999998796</v>
      </c>
      <c r="B1362">
        <f t="shared" si="179"/>
        <v>2.9999999999998778E-2</v>
      </c>
      <c r="C1362">
        <f t="shared" si="180"/>
        <v>0.13000000000000123</v>
      </c>
      <c r="D1362">
        <f t="shared" si="181"/>
        <v>8.0000000000000321E-2</v>
      </c>
      <c r="E1362">
        <f t="shared" si="178"/>
        <v>8.0000000000000848E-2</v>
      </c>
      <c r="P1362">
        <f t="shared" si="182"/>
        <v>0</v>
      </c>
      <c r="Q1362">
        <f t="shared" si="183"/>
        <v>0</v>
      </c>
    </row>
    <row r="1363" spans="1:17" x14ac:dyDescent="0.45">
      <c r="A1363">
        <v>6.7799999999998803</v>
      </c>
      <c r="B1363">
        <f t="shared" si="179"/>
        <v>2.9999999999998805E-2</v>
      </c>
      <c r="C1363">
        <f t="shared" si="180"/>
        <v>0.1300000000000012</v>
      </c>
      <c r="D1363">
        <f t="shared" si="181"/>
        <v>8.0000000000000321E-2</v>
      </c>
      <c r="E1363">
        <f t="shared" si="178"/>
        <v>8.0000000000000848E-2</v>
      </c>
      <c r="P1363">
        <f t="shared" si="182"/>
        <v>0</v>
      </c>
      <c r="Q1363">
        <f t="shared" si="183"/>
        <v>0</v>
      </c>
    </row>
    <row r="1364" spans="1:17" x14ac:dyDescent="0.45">
      <c r="A1364">
        <v>6.7849999999998802</v>
      </c>
      <c r="B1364">
        <f t="shared" si="179"/>
        <v>2.9999999999998833E-2</v>
      </c>
      <c r="C1364">
        <f t="shared" si="180"/>
        <v>0.13000000000000117</v>
      </c>
      <c r="D1364">
        <f t="shared" si="181"/>
        <v>8.0000000000000307E-2</v>
      </c>
      <c r="E1364">
        <f t="shared" si="178"/>
        <v>8.0000000000000834E-2</v>
      </c>
      <c r="P1364">
        <f t="shared" si="182"/>
        <v>0</v>
      </c>
      <c r="Q1364">
        <f t="shared" si="183"/>
        <v>0</v>
      </c>
    </row>
    <row r="1365" spans="1:17" x14ac:dyDescent="0.45">
      <c r="A1365">
        <v>6.7899999999998801</v>
      </c>
      <c r="B1365">
        <f t="shared" si="179"/>
        <v>2.9999999999998861E-2</v>
      </c>
      <c r="C1365">
        <f t="shared" si="180"/>
        <v>0.13000000000000114</v>
      </c>
      <c r="D1365">
        <f t="shared" si="181"/>
        <v>8.0000000000000307E-2</v>
      </c>
      <c r="E1365">
        <f t="shared" si="178"/>
        <v>8.000000000000082E-2</v>
      </c>
      <c r="P1365">
        <f t="shared" si="182"/>
        <v>0</v>
      </c>
      <c r="Q1365">
        <f t="shared" si="183"/>
        <v>0</v>
      </c>
    </row>
    <row r="1366" spans="1:17" x14ac:dyDescent="0.45">
      <c r="A1366">
        <v>6.79499999999988</v>
      </c>
      <c r="B1366">
        <f t="shared" si="179"/>
        <v>2.9999999999998889E-2</v>
      </c>
      <c r="C1366">
        <f t="shared" si="180"/>
        <v>0.13000000000000111</v>
      </c>
      <c r="D1366">
        <f t="shared" si="181"/>
        <v>8.0000000000000293E-2</v>
      </c>
      <c r="E1366">
        <f t="shared" si="178"/>
        <v>8.0000000000000807E-2</v>
      </c>
      <c r="P1366">
        <f t="shared" si="182"/>
        <v>0</v>
      </c>
      <c r="Q1366">
        <f t="shared" si="183"/>
        <v>0</v>
      </c>
    </row>
    <row r="1367" spans="1:17" x14ac:dyDescent="0.45">
      <c r="A1367">
        <v>6.7999999999998799</v>
      </c>
      <c r="B1367">
        <f t="shared" si="179"/>
        <v>2.9999999999998916E-2</v>
      </c>
      <c r="C1367">
        <f t="shared" si="180"/>
        <v>0.13000000000000109</v>
      </c>
      <c r="D1367">
        <f t="shared" si="181"/>
        <v>8.0000000000000293E-2</v>
      </c>
      <c r="E1367">
        <f t="shared" si="178"/>
        <v>8.0000000000000793E-2</v>
      </c>
      <c r="P1367">
        <f t="shared" si="182"/>
        <v>0</v>
      </c>
      <c r="Q1367">
        <f t="shared" si="183"/>
        <v>0</v>
      </c>
    </row>
    <row r="1368" spans="1:17" x14ac:dyDescent="0.45">
      <c r="A1368">
        <v>6.8049999999998798</v>
      </c>
      <c r="B1368">
        <f t="shared" si="179"/>
        <v>2.9999999999998944E-2</v>
      </c>
      <c r="C1368">
        <f t="shared" si="180"/>
        <v>0.13000000000000106</v>
      </c>
      <c r="D1368">
        <f t="shared" si="181"/>
        <v>8.0000000000000279E-2</v>
      </c>
      <c r="E1368">
        <f t="shared" si="178"/>
        <v>8.0000000000000793E-2</v>
      </c>
      <c r="P1368">
        <f t="shared" si="182"/>
        <v>0</v>
      </c>
      <c r="Q1368">
        <f t="shared" si="183"/>
        <v>0</v>
      </c>
    </row>
    <row r="1369" spans="1:17" x14ac:dyDescent="0.45">
      <c r="A1369">
        <v>6.8099999999998797</v>
      </c>
      <c r="B1369">
        <f t="shared" si="179"/>
        <v>2.9999999999998972E-2</v>
      </c>
      <c r="C1369">
        <f t="shared" si="180"/>
        <v>0.13000000000000103</v>
      </c>
      <c r="D1369">
        <f t="shared" si="181"/>
        <v>8.0000000000000279E-2</v>
      </c>
      <c r="E1369">
        <f t="shared" si="178"/>
        <v>8.0000000000000779E-2</v>
      </c>
      <c r="P1369">
        <f t="shared" si="182"/>
        <v>0</v>
      </c>
      <c r="Q1369">
        <f t="shared" si="183"/>
        <v>0</v>
      </c>
    </row>
    <row r="1370" spans="1:17" x14ac:dyDescent="0.45">
      <c r="A1370">
        <v>6.8149999999998796</v>
      </c>
      <c r="B1370">
        <f t="shared" si="179"/>
        <v>2.9999999999999E-2</v>
      </c>
      <c r="C1370">
        <f t="shared" si="180"/>
        <v>0.130000000000001</v>
      </c>
      <c r="D1370">
        <f t="shared" si="181"/>
        <v>8.0000000000000265E-2</v>
      </c>
      <c r="E1370">
        <f t="shared" si="178"/>
        <v>8.0000000000000765E-2</v>
      </c>
      <c r="P1370">
        <f t="shared" si="182"/>
        <v>0</v>
      </c>
      <c r="Q1370">
        <f t="shared" si="183"/>
        <v>0</v>
      </c>
    </row>
    <row r="1371" spans="1:17" x14ac:dyDescent="0.45">
      <c r="A1371">
        <v>6.8199999999998804</v>
      </c>
      <c r="B1371">
        <f t="shared" si="179"/>
        <v>2.9999999999999027E-2</v>
      </c>
      <c r="C1371">
        <f t="shared" si="180"/>
        <v>0.13000000000000098</v>
      </c>
      <c r="D1371">
        <f t="shared" si="181"/>
        <v>8.0000000000000265E-2</v>
      </c>
      <c r="E1371">
        <f t="shared" si="178"/>
        <v>8.0000000000000751E-2</v>
      </c>
      <c r="P1371">
        <f t="shared" si="182"/>
        <v>0</v>
      </c>
      <c r="Q1371">
        <f t="shared" si="183"/>
        <v>0</v>
      </c>
    </row>
    <row r="1372" spans="1:17" x14ac:dyDescent="0.45">
      <c r="A1372">
        <v>6.8249999999998803</v>
      </c>
      <c r="B1372">
        <f t="shared" si="179"/>
        <v>2.9999999999999055E-2</v>
      </c>
      <c r="C1372">
        <f t="shared" si="180"/>
        <v>0.13000000000000095</v>
      </c>
      <c r="D1372">
        <f t="shared" si="181"/>
        <v>8.0000000000000251E-2</v>
      </c>
      <c r="E1372">
        <f t="shared" si="178"/>
        <v>8.0000000000000737E-2</v>
      </c>
      <c r="P1372">
        <f t="shared" si="182"/>
        <v>0</v>
      </c>
      <c r="Q1372">
        <f t="shared" si="183"/>
        <v>0</v>
      </c>
    </row>
    <row r="1373" spans="1:17" x14ac:dyDescent="0.45">
      <c r="A1373">
        <v>6.8299999999998802</v>
      </c>
      <c r="B1373">
        <f t="shared" si="179"/>
        <v>2.9999999999999069E-2</v>
      </c>
      <c r="C1373">
        <f t="shared" si="180"/>
        <v>0.13000000000000095</v>
      </c>
      <c r="D1373">
        <f t="shared" si="181"/>
        <v>8.0000000000000251E-2</v>
      </c>
      <c r="E1373">
        <f t="shared" si="178"/>
        <v>8.0000000000000723E-2</v>
      </c>
      <c r="P1373">
        <f t="shared" si="182"/>
        <v>0</v>
      </c>
      <c r="Q1373">
        <f t="shared" si="183"/>
        <v>0</v>
      </c>
    </row>
    <row r="1374" spans="1:17" x14ac:dyDescent="0.45">
      <c r="A1374">
        <v>6.8349999999998801</v>
      </c>
      <c r="B1374">
        <f t="shared" si="179"/>
        <v>2.9999999999999097E-2</v>
      </c>
      <c r="C1374">
        <f t="shared" si="180"/>
        <v>0.13000000000000089</v>
      </c>
      <c r="D1374">
        <f t="shared" si="181"/>
        <v>8.0000000000000238E-2</v>
      </c>
      <c r="E1374">
        <f t="shared" si="178"/>
        <v>8.0000000000000709E-2</v>
      </c>
      <c r="P1374">
        <f t="shared" si="182"/>
        <v>0</v>
      </c>
      <c r="Q1374">
        <f t="shared" si="183"/>
        <v>0</v>
      </c>
    </row>
    <row r="1375" spans="1:17" x14ac:dyDescent="0.45">
      <c r="A1375">
        <v>6.83999999999988</v>
      </c>
      <c r="B1375">
        <f t="shared" si="179"/>
        <v>2.9999999999999111E-2</v>
      </c>
      <c r="C1375">
        <f t="shared" si="180"/>
        <v>0.13000000000000089</v>
      </c>
      <c r="D1375">
        <f t="shared" si="181"/>
        <v>8.0000000000000238E-2</v>
      </c>
      <c r="E1375">
        <f t="shared" si="178"/>
        <v>8.0000000000000696E-2</v>
      </c>
      <c r="P1375">
        <f t="shared" si="182"/>
        <v>0</v>
      </c>
      <c r="Q1375">
        <f t="shared" si="183"/>
        <v>0</v>
      </c>
    </row>
    <row r="1376" spans="1:17" x14ac:dyDescent="0.45">
      <c r="A1376">
        <v>6.8449999999998798</v>
      </c>
      <c r="B1376">
        <f t="shared" si="179"/>
        <v>2.9999999999999138E-2</v>
      </c>
      <c r="C1376">
        <f t="shared" si="180"/>
        <v>0.13000000000000086</v>
      </c>
      <c r="D1376">
        <f t="shared" si="181"/>
        <v>8.0000000000000238E-2</v>
      </c>
      <c r="E1376">
        <f t="shared" si="178"/>
        <v>8.0000000000000682E-2</v>
      </c>
      <c r="P1376">
        <f t="shared" si="182"/>
        <v>0</v>
      </c>
      <c r="Q1376">
        <f t="shared" si="183"/>
        <v>0</v>
      </c>
    </row>
    <row r="1377" spans="1:17" x14ac:dyDescent="0.45">
      <c r="A1377">
        <v>6.8499999999998797</v>
      </c>
      <c r="B1377">
        <f t="shared" si="179"/>
        <v>2.9999999999999166E-2</v>
      </c>
      <c r="C1377">
        <f t="shared" si="180"/>
        <v>0.13000000000000084</v>
      </c>
      <c r="D1377">
        <f t="shared" si="181"/>
        <v>8.0000000000000224E-2</v>
      </c>
      <c r="E1377">
        <f t="shared" si="178"/>
        <v>8.0000000000000668E-2</v>
      </c>
      <c r="P1377">
        <f t="shared" si="182"/>
        <v>0</v>
      </c>
      <c r="Q1377">
        <f t="shared" si="183"/>
        <v>0</v>
      </c>
    </row>
    <row r="1378" spans="1:17" x14ac:dyDescent="0.45">
      <c r="A1378">
        <v>6.8549999999998796</v>
      </c>
      <c r="B1378">
        <f t="shared" si="179"/>
        <v>2.999999999999918E-2</v>
      </c>
      <c r="C1378">
        <f t="shared" si="180"/>
        <v>0.13000000000000084</v>
      </c>
      <c r="D1378">
        <f t="shared" si="181"/>
        <v>8.0000000000000224E-2</v>
      </c>
      <c r="E1378">
        <f t="shared" si="178"/>
        <v>8.000000000000064E-2</v>
      </c>
      <c r="P1378">
        <f t="shared" si="182"/>
        <v>0</v>
      </c>
      <c r="Q1378">
        <f t="shared" si="183"/>
        <v>0</v>
      </c>
    </row>
    <row r="1379" spans="1:17" x14ac:dyDescent="0.45">
      <c r="A1379">
        <v>6.8599999999998804</v>
      </c>
      <c r="B1379">
        <f t="shared" si="179"/>
        <v>2.9999999999999208E-2</v>
      </c>
      <c r="C1379">
        <f t="shared" si="180"/>
        <v>0.13000000000000078</v>
      </c>
      <c r="D1379">
        <f t="shared" si="181"/>
        <v>8.000000000000021E-2</v>
      </c>
      <c r="E1379">
        <f t="shared" si="178"/>
        <v>8.0000000000000626E-2</v>
      </c>
      <c r="P1379">
        <f t="shared" si="182"/>
        <v>0</v>
      </c>
      <c r="Q1379">
        <f t="shared" si="183"/>
        <v>0</v>
      </c>
    </row>
    <row r="1380" spans="1:17" x14ac:dyDescent="0.45">
      <c r="A1380">
        <v>6.8649999999998803</v>
      </c>
      <c r="B1380">
        <f t="shared" si="179"/>
        <v>2.9999999999999222E-2</v>
      </c>
      <c r="C1380">
        <f t="shared" si="180"/>
        <v>0.13000000000000078</v>
      </c>
      <c r="D1380">
        <f t="shared" si="181"/>
        <v>8.000000000000021E-2</v>
      </c>
      <c r="E1380">
        <f t="shared" si="178"/>
        <v>8.0000000000000612E-2</v>
      </c>
      <c r="P1380">
        <f t="shared" si="182"/>
        <v>0</v>
      </c>
      <c r="Q1380">
        <f t="shared" si="183"/>
        <v>0</v>
      </c>
    </row>
    <row r="1381" spans="1:17" x14ac:dyDescent="0.45">
      <c r="A1381">
        <v>6.8699999999998802</v>
      </c>
      <c r="B1381">
        <f t="shared" si="179"/>
        <v>2.9999999999999236E-2</v>
      </c>
      <c r="C1381">
        <f t="shared" si="180"/>
        <v>0.13000000000000078</v>
      </c>
      <c r="D1381">
        <f t="shared" si="181"/>
        <v>8.000000000000021E-2</v>
      </c>
      <c r="E1381">
        <f t="shared" si="178"/>
        <v>8.0000000000000598E-2</v>
      </c>
      <c r="P1381">
        <f t="shared" si="182"/>
        <v>0</v>
      </c>
      <c r="Q1381">
        <f t="shared" si="183"/>
        <v>0</v>
      </c>
    </row>
    <row r="1382" spans="1:17" x14ac:dyDescent="0.45">
      <c r="A1382">
        <v>6.8749999999998801</v>
      </c>
      <c r="B1382">
        <f t="shared" si="179"/>
        <v>2.9999999999999263E-2</v>
      </c>
      <c r="C1382">
        <f t="shared" si="180"/>
        <v>0.13000000000000073</v>
      </c>
      <c r="D1382">
        <f t="shared" si="181"/>
        <v>8.0000000000000196E-2</v>
      </c>
      <c r="E1382">
        <f t="shared" si="178"/>
        <v>8.0000000000000585E-2</v>
      </c>
      <c r="P1382">
        <f t="shared" si="182"/>
        <v>0</v>
      </c>
      <c r="Q1382">
        <f t="shared" si="183"/>
        <v>0</v>
      </c>
    </row>
    <row r="1383" spans="1:17" x14ac:dyDescent="0.45">
      <c r="A1383">
        <v>6.87999999999988</v>
      </c>
      <c r="B1383">
        <f t="shared" si="179"/>
        <v>2.9999999999999277E-2</v>
      </c>
      <c r="C1383">
        <f t="shared" si="180"/>
        <v>0.13000000000000073</v>
      </c>
      <c r="D1383">
        <f t="shared" si="181"/>
        <v>8.0000000000000196E-2</v>
      </c>
      <c r="E1383">
        <f t="shared" si="178"/>
        <v>8.0000000000000571E-2</v>
      </c>
      <c r="P1383">
        <f t="shared" si="182"/>
        <v>0</v>
      </c>
      <c r="Q1383">
        <f t="shared" si="183"/>
        <v>0</v>
      </c>
    </row>
    <row r="1384" spans="1:17" x14ac:dyDescent="0.45">
      <c r="A1384">
        <v>6.8849999999998799</v>
      </c>
      <c r="B1384">
        <f t="shared" si="179"/>
        <v>2.9999999999999291E-2</v>
      </c>
      <c r="C1384">
        <f t="shared" si="180"/>
        <v>0.13000000000000073</v>
      </c>
      <c r="D1384">
        <f t="shared" si="181"/>
        <v>8.0000000000000196E-2</v>
      </c>
      <c r="E1384">
        <f t="shared" si="178"/>
        <v>8.0000000000000557E-2</v>
      </c>
      <c r="P1384">
        <f t="shared" si="182"/>
        <v>0</v>
      </c>
      <c r="Q1384">
        <f t="shared" si="183"/>
        <v>0</v>
      </c>
    </row>
    <row r="1385" spans="1:17" x14ac:dyDescent="0.45">
      <c r="A1385">
        <v>6.8899999999998798</v>
      </c>
      <c r="B1385">
        <f t="shared" si="179"/>
        <v>2.9999999999999319E-2</v>
      </c>
      <c r="C1385">
        <f t="shared" si="180"/>
        <v>0.13000000000000067</v>
      </c>
      <c r="D1385">
        <f t="shared" si="181"/>
        <v>8.0000000000000182E-2</v>
      </c>
      <c r="E1385">
        <f t="shared" si="178"/>
        <v>8.0000000000000543E-2</v>
      </c>
      <c r="P1385">
        <f t="shared" si="182"/>
        <v>0</v>
      </c>
      <c r="Q1385">
        <f t="shared" si="183"/>
        <v>0</v>
      </c>
    </row>
    <row r="1386" spans="1:17" x14ac:dyDescent="0.45">
      <c r="A1386">
        <v>6.8949999999998797</v>
      </c>
      <c r="B1386">
        <f t="shared" si="179"/>
        <v>2.9999999999999333E-2</v>
      </c>
      <c r="C1386">
        <f t="shared" si="180"/>
        <v>0.13000000000000067</v>
      </c>
      <c r="D1386">
        <f t="shared" si="181"/>
        <v>8.0000000000000182E-2</v>
      </c>
      <c r="E1386">
        <f t="shared" si="178"/>
        <v>8.0000000000000529E-2</v>
      </c>
      <c r="P1386">
        <f t="shared" si="182"/>
        <v>0</v>
      </c>
      <c r="Q1386">
        <f t="shared" si="183"/>
        <v>0</v>
      </c>
    </row>
    <row r="1387" spans="1:17" x14ac:dyDescent="0.45">
      <c r="A1387">
        <v>6.8999999999998796</v>
      </c>
      <c r="B1387">
        <f t="shared" si="179"/>
        <v>2.9999999999999347E-2</v>
      </c>
      <c r="C1387">
        <f t="shared" si="180"/>
        <v>0.13000000000000067</v>
      </c>
      <c r="D1387">
        <f t="shared" si="181"/>
        <v>8.0000000000000182E-2</v>
      </c>
      <c r="E1387">
        <f t="shared" si="178"/>
        <v>8.0000000000000515E-2</v>
      </c>
      <c r="P1387">
        <f t="shared" si="182"/>
        <v>0</v>
      </c>
      <c r="Q1387">
        <f t="shared" si="183"/>
        <v>0</v>
      </c>
    </row>
    <row r="1388" spans="1:17" x14ac:dyDescent="0.45">
      <c r="A1388">
        <v>6.9049999999998803</v>
      </c>
      <c r="B1388">
        <f t="shared" si="179"/>
        <v>2.9999999999999361E-2</v>
      </c>
      <c r="C1388">
        <f t="shared" si="180"/>
        <v>0.13000000000000064</v>
      </c>
      <c r="D1388">
        <f t="shared" si="181"/>
        <v>8.0000000000000168E-2</v>
      </c>
      <c r="E1388">
        <f t="shared" si="178"/>
        <v>8.0000000000000487E-2</v>
      </c>
      <c r="P1388">
        <f t="shared" si="182"/>
        <v>0</v>
      </c>
      <c r="Q1388">
        <f t="shared" si="183"/>
        <v>0</v>
      </c>
    </row>
    <row r="1389" spans="1:17" x14ac:dyDescent="0.45">
      <c r="A1389">
        <v>6.9099999999998802</v>
      </c>
      <c r="B1389">
        <f t="shared" si="179"/>
        <v>2.9999999999999374E-2</v>
      </c>
      <c r="C1389">
        <f t="shared" si="180"/>
        <v>0.13000000000000062</v>
      </c>
      <c r="D1389">
        <f t="shared" si="181"/>
        <v>8.0000000000000168E-2</v>
      </c>
      <c r="E1389">
        <f t="shared" si="178"/>
        <v>8.0000000000000474E-2</v>
      </c>
      <c r="P1389">
        <f t="shared" si="182"/>
        <v>0</v>
      </c>
      <c r="Q1389">
        <f t="shared" si="183"/>
        <v>0</v>
      </c>
    </row>
    <row r="1390" spans="1:17" x14ac:dyDescent="0.45">
      <c r="A1390">
        <v>6.9149999999998801</v>
      </c>
      <c r="B1390">
        <f t="shared" si="179"/>
        <v>2.9999999999999388E-2</v>
      </c>
      <c r="C1390">
        <f t="shared" si="180"/>
        <v>0.13000000000000062</v>
      </c>
      <c r="D1390">
        <f t="shared" si="181"/>
        <v>8.0000000000000168E-2</v>
      </c>
      <c r="E1390">
        <f t="shared" si="178"/>
        <v>8.000000000000046E-2</v>
      </c>
      <c r="P1390">
        <f t="shared" si="182"/>
        <v>0</v>
      </c>
      <c r="Q1390">
        <f t="shared" si="183"/>
        <v>0</v>
      </c>
    </row>
    <row r="1391" spans="1:17" x14ac:dyDescent="0.45">
      <c r="A1391">
        <v>6.91999999999988</v>
      </c>
      <c r="B1391">
        <f t="shared" si="179"/>
        <v>2.9999999999999402E-2</v>
      </c>
      <c r="C1391">
        <f t="shared" si="180"/>
        <v>0.13000000000000062</v>
      </c>
      <c r="D1391">
        <f t="shared" si="181"/>
        <v>8.0000000000000154E-2</v>
      </c>
      <c r="E1391">
        <f t="shared" si="178"/>
        <v>8.0000000000000446E-2</v>
      </c>
      <c r="P1391">
        <f t="shared" si="182"/>
        <v>0</v>
      </c>
      <c r="Q1391">
        <f t="shared" si="183"/>
        <v>0</v>
      </c>
    </row>
    <row r="1392" spans="1:17" x14ac:dyDescent="0.45">
      <c r="A1392">
        <v>6.9249999999998799</v>
      </c>
      <c r="B1392">
        <f t="shared" si="179"/>
        <v>2.9999999999999416E-2</v>
      </c>
      <c r="C1392">
        <f t="shared" si="180"/>
        <v>0.13000000000000059</v>
      </c>
      <c r="D1392">
        <f t="shared" si="181"/>
        <v>8.0000000000000154E-2</v>
      </c>
      <c r="E1392">
        <f t="shared" si="178"/>
        <v>8.0000000000000432E-2</v>
      </c>
      <c r="P1392">
        <f t="shared" si="182"/>
        <v>0</v>
      </c>
      <c r="Q1392">
        <f t="shared" si="183"/>
        <v>0</v>
      </c>
    </row>
    <row r="1393" spans="1:17" x14ac:dyDescent="0.45">
      <c r="A1393">
        <v>6.9299999999998798</v>
      </c>
      <c r="B1393">
        <f t="shared" si="179"/>
        <v>2.999999999999943E-2</v>
      </c>
      <c r="C1393">
        <f t="shared" si="180"/>
        <v>0.13000000000000056</v>
      </c>
      <c r="D1393">
        <f t="shared" si="181"/>
        <v>8.0000000000000154E-2</v>
      </c>
      <c r="E1393">
        <f t="shared" si="178"/>
        <v>8.0000000000000418E-2</v>
      </c>
      <c r="P1393">
        <f t="shared" si="182"/>
        <v>0</v>
      </c>
      <c r="Q1393">
        <f t="shared" si="183"/>
        <v>0</v>
      </c>
    </row>
    <row r="1394" spans="1:17" x14ac:dyDescent="0.45">
      <c r="A1394">
        <v>6.9349999999998797</v>
      </c>
      <c r="B1394">
        <f t="shared" si="179"/>
        <v>2.9999999999999444E-2</v>
      </c>
      <c r="C1394">
        <f t="shared" si="180"/>
        <v>0.13000000000000056</v>
      </c>
      <c r="D1394">
        <f t="shared" si="181"/>
        <v>8.0000000000000154E-2</v>
      </c>
      <c r="E1394">
        <f t="shared" si="178"/>
        <v>8.0000000000000404E-2</v>
      </c>
      <c r="P1394">
        <f t="shared" si="182"/>
        <v>0</v>
      </c>
      <c r="Q1394">
        <f t="shared" si="183"/>
        <v>0</v>
      </c>
    </row>
    <row r="1395" spans="1:17" x14ac:dyDescent="0.45">
      <c r="A1395">
        <v>6.9399999999998796</v>
      </c>
      <c r="B1395">
        <f t="shared" si="179"/>
        <v>2.9999999999999458E-2</v>
      </c>
      <c r="C1395">
        <f t="shared" si="180"/>
        <v>0.13000000000000056</v>
      </c>
      <c r="D1395">
        <f t="shared" si="181"/>
        <v>8.000000000000014E-2</v>
      </c>
      <c r="E1395">
        <f t="shared" si="178"/>
        <v>8.000000000000039E-2</v>
      </c>
      <c r="P1395">
        <f t="shared" si="182"/>
        <v>0</v>
      </c>
      <c r="Q1395">
        <f t="shared" si="183"/>
        <v>0</v>
      </c>
    </row>
    <row r="1396" spans="1:17" x14ac:dyDescent="0.45">
      <c r="A1396">
        <v>6.9449999999998804</v>
      </c>
      <c r="B1396">
        <f t="shared" si="179"/>
        <v>2.9999999999999472E-2</v>
      </c>
      <c r="C1396">
        <f t="shared" si="180"/>
        <v>0.13000000000000053</v>
      </c>
      <c r="D1396">
        <f t="shared" si="181"/>
        <v>8.000000000000014E-2</v>
      </c>
      <c r="E1396">
        <f t="shared" si="178"/>
        <v>8.0000000000000376E-2</v>
      </c>
      <c r="P1396">
        <f t="shared" si="182"/>
        <v>0</v>
      </c>
      <c r="Q1396">
        <f t="shared" si="183"/>
        <v>0</v>
      </c>
    </row>
    <row r="1397" spans="1:17" x14ac:dyDescent="0.45">
      <c r="A1397">
        <v>6.9499999999998803</v>
      </c>
      <c r="B1397">
        <f t="shared" si="179"/>
        <v>2.9999999999999485E-2</v>
      </c>
      <c r="C1397">
        <f t="shared" si="180"/>
        <v>0.1300000000000005</v>
      </c>
      <c r="D1397">
        <f t="shared" si="181"/>
        <v>8.000000000000014E-2</v>
      </c>
      <c r="E1397">
        <f t="shared" si="178"/>
        <v>8.0000000000000362E-2</v>
      </c>
      <c r="P1397">
        <f t="shared" si="182"/>
        <v>0</v>
      </c>
      <c r="Q1397">
        <f t="shared" si="183"/>
        <v>0</v>
      </c>
    </row>
    <row r="1398" spans="1:17" x14ac:dyDescent="0.45">
      <c r="A1398">
        <v>6.9549999999998802</v>
      </c>
      <c r="B1398">
        <f t="shared" si="179"/>
        <v>2.9999999999999499E-2</v>
      </c>
      <c r="C1398">
        <f t="shared" si="180"/>
        <v>0.1300000000000005</v>
      </c>
      <c r="D1398">
        <f t="shared" si="181"/>
        <v>8.000000000000014E-2</v>
      </c>
      <c r="E1398">
        <f t="shared" si="178"/>
        <v>8.0000000000000349E-2</v>
      </c>
      <c r="P1398">
        <f t="shared" si="182"/>
        <v>0</v>
      </c>
      <c r="Q1398">
        <f t="shared" si="183"/>
        <v>0</v>
      </c>
    </row>
    <row r="1399" spans="1:17" x14ac:dyDescent="0.45">
      <c r="A1399">
        <v>6.9599999999998801</v>
      </c>
      <c r="B1399">
        <f t="shared" si="179"/>
        <v>2.9999999999999513E-2</v>
      </c>
      <c r="C1399">
        <f t="shared" si="180"/>
        <v>0.1300000000000005</v>
      </c>
      <c r="D1399">
        <f t="shared" si="181"/>
        <v>8.0000000000000127E-2</v>
      </c>
      <c r="E1399">
        <f t="shared" si="178"/>
        <v>8.0000000000000335E-2</v>
      </c>
      <c r="P1399">
        <f t="shared" si="182"/>
        <v>0</v>
      </c>
      <c r="Q1399">
        <f t="shared" si="183"/>
        <v>0</v>
      </c>
    </row>
    <row r="1400" spans="1:17" x14ac:dyDescent="0.45">
      <c r="A1400">
        <v>6.96499999999988</v>
      </c>
      <c r="B1400">
        <f t="shared" si="179"/>
        <v>2.9999999999999527E-2</v>
      </c>
      <c r="C1400">
        <f t="shared" si="180"/>
        <v>0.13000000000000048</v>
      </c>
      <c r="D1400">
        <f t="shared" si="181"/>
        <v>8.0000000000000127E-2</v>
      </c>
      <c r="E1400">
        <f t="shared" si="178"/>
        <v>8.0000000000000321E-2</v>
      </c>
      <c r="P1400">
        <f t="shared" si="182"/>
        <v>0</v>
      </c>
      <c r="Q1400">
        <f t="shared" si="183"/>
        <v>0</v>
      </c>
    </row>
    <row r="1401" spans="1:17" x14ac:dyDescent="0.45">
      <c r="A1401">
        <v>6.9699999999998798</v>
      </c>
      <c r="B1401">
        <f t="shared" si="179"/>
        <v>2.9999999999999541E-2</v>
      </c>
      <c r="C1401">
        <f t="shared" si="180"/>
        <v>0.13000000000000045</v>
      </c>
      <c r="D1401">
        <f t="shared" si="181"/>
        <v>8.0000000000000127E-2</v>
      </c>
      <c r="E1401">
        <f t="shared" si="178"/>
        <v>8.0000000000000307E-2</v>
      </c>
      <c r="P1401">
        <f t="shared" si="182"/>
        <v>0</v>
      </c>
      <c r="Q1401">
        <f t="shared" si="183"/>
        <v>0</v>
      </c>
    </row>
    <row r="1402" spans="1:17" x14ac:dyDescent="0.45">
      <c r="A1402">
        <v>6.9749999999998797</v>
      </c>
      <c r="B1402">
        <f t="shared" si="179"/>
        <v>2.9999999999999555E-2</v>
      </c>
      <c r="C1402">
        <f t="shared" si="180"/>
        <v>0.13000000000000045</v>
      </c>
      <c r="D1402">
        <f t="shared" si="181"/>
        <v>8.0000000000000127E-2</v>
      </c>
      <c r="E1402">
        <f t="shared" si="178"/>
        <v>8.0000000000000293E-2</v>
      </c>
      <c r="P1402">
        <f t="shared" si="182"/>
        <v>0</v>
      </c>
      <c r="Q1402">
        <f t="shared" si="183"/>
        <v>0</v>
      </c>
    </row>
    <row r="1403" spans="1:17" x14ac:dyDescent="0.45">
      <c r="A1403">
        <v>6.9799999999998796</v>
      </c>
      <c r="B1403">
        <f t="shared" si="179"/>
        <v>2.9999999999999555E-2</v>
      </c>
      <c r="C1403">
        <f t="shared" si="180"/>
        <v>0.13000000000000045</v>
      </c>
      <c r="D1403">
        <f t="shared" si="181"/>
        <v>8.0000000000000113E-2</v>
      </c>
      <c r="E1403">
        <f t="shared" si="178"/>
        <v>8.0000000000000279E-2</v>
      </c>
      <c r="P1403">
        <f t="shared" si="182"/>
        <v>0</v>
      </c>
      <c r="Q1403">
        <f t="shared" si="183"/>
        <v>0</v>
      </c>
    </row>
    <row r="1404" spans="1:17" x14ac:dyDescent="0.45">
      <c r="A1404">
        <v>6.9849999999998804</v>
      </c>
      <c r="B1404">
        <f t="shared" si="179"/>
        <v>2.9999999999999569E-2</v>
      </c>
      <c r="C1404">
        <f t="shared" si="180"/>
        <v>0.13000000000000045</v>
      </c>
      <c r="D1404">
        <f t="shared" si="181"/>
        <v>8.0000000000000113E-2</v>
      </c>
      <c r="E1404">
        <f t="shared" si="178"/>
        <v>8.0000000000000265E-2</v>
      </c>
      <c r="P1404">
        <f t="shared" si="182"/>
        <v>0</v>
      </c>
      <c r="Q1404">
        <f t="shared" si="183"/>
        <v>0</v>
      </c>
    </row>
    <row r="1405" spans="1:17" x14ac:dyDescent="0.45">
      <c r="A1405">
        <v>6.9899999999998803</v>
      </c>
      <c r="B1405">
        <f t="shared" si="179"/>
        <v>2.9999999999999583E-2</v>
      </c>
      <c r="C1405">
        <f t="shared" si="180"/>
        <v>0.13000000000000042</v>
      </c>
      <c r="D1405">
        <f t="shared" si="181"/>
        <v>8.0000000000000113E-2</v>
      </c>
      <c r="E1405">
        <f t="shared" si="178"/>
        <v>8.0000000000000265E-2</v>
      </c>
      <c r="P1405">
        <f t="shared" si="182"/>
        <v>0</v>
      </c>
      <c r="Q1405">
        <f t="shared" si="183"/>
        <v>0</v>
      </c>
    </row>
    <row r="1406" spans="1:17" x14ac:dyDescent="0.45">
      <c r="A1406">
        <v>6.9949999999998802</v>
      </c>
      <c r="B1406">
        <f t="shared" si="179"/>
        <v>2.9999999999999596E-2</v>
      </c>
      <c r="C1406">
        <f t="shared" si="180"/>
        <v>0.13000000000000039</v>
      </c>
      <c r="D1406">
        <f t="shared" si="181"/>
        <v>8.0000000000000113E-2</v>
      </c>
      <c r="E1406">
        <f t="shared" si="178"/>
        <v>8.0000000000000251E-2</v>
      </c>
      <c r="P1406">
        <f t="shared" si="182"/>
        <v>0</v>
      </c>
      <c r="Q1406">
        <f t="shared" si="183"/>
        <v>0</v>
      </c>
    </row>
    <row r="1407" spans="1:17" x14ac:dyDescent="0.45">
      <c r="A1407">
        <v>6.9999999999998801</v>
      </c>
      <c r="B1407">
        <f t="shared" si="179"/>
        <v>2.9999999999999596E-2</v>
      </c>
      <c r="C1407">
        <f t="shared" si="180"/>
        <v>0.13000000000000039</v>
      </c>
      <c r="D1407">
        <f t="shared" si="181"/>
        <v>8.0000000000000113E-2</v>
      </c>
      <c r="E1407">
        <f t="shared" si="178"/>
        <v>8.0000000000000238E-2</v>
      </c>
      <c r="P1407">
        <f t="shared" si="182"/>
        <v>0</v>
      </c>
      <c r="Q1407">
        <f t="shared" si="183"/>
        <v>0</v>
      </c>
    </row>
    <row r="1408" spans="1:17" x14ac:dyDescent="0.45">
      <c r="A1408">
        <v>7.00499999999988</v>
      </c>
      <c r="B1408">
        <f t="shared" si="179"/>
        <v>2.999999999999961E-2</v>
      </c>
      <c r="C1408">
        <f t="shared" si="180"/>
        <v>0.13000000000000039</v>
      </c>
      <c r="D1408">
        <f t="shared" si="181"/>
        <v>8.0000000000000099E-2</v>
      </c>
      <c r="E1408">
        <f t="shared" si="178"/>
        <v>8.0000000000000224E-2</v>
      </c>
      <c r="P1408">
        <f t="shared" si="182"/>
        <v>0</v>
      </c>
      <c r="Q1408">
        <f t="shared" si="183"/>
        <v>0</v>
      </c>
    </row>
    <row r="1409" spans="1:17" x14ac:dyDescent="0.45">
      <c r="A1409">
        <v>7.0099999999998799</v>
      </c>
      <c r="B1409">
        <f t="shared" si="179"/>
        <v>2.9999999999999624E-2</v>
      </c>
      <c r="C1409">
        <f t="shared" si="180"/>
        <v>0.13000000000000039</v>
      </c>
      <c r="D1409">
        <f t="shared" si="181"/>
        <v>8.0000000000000099E-2</v>
      </c>
      <c r="E1409">
        <f t="shared" si="178"/>
        <v>8.000000000000021E-2</v>
      </c>
      <c r="P1409">
        <f t="shared" si="182"/>
        <v>0</v>
      </c>
      <c r="Q1409">
        <f t="shared" si="183"/>
        <v>0</v>
      </c>
    </row>
    <row r="1410" spans="1:17" x14ac:dyDescent="0.45">
      <c r="A1410">
        <v>7.0149999999998798</v>
      </c>
      <c r="B1410">
        <f t="shared" si="179"/>
        <v>2.9999999999999638E-2</v>
      </c>
      <c r="C1410">
        <f t="shared" si="180"/>
        <v>0.13000000000000037</v>
      </c>
      <c r="D1410">
        <f t="shared" si="181"/>
        <v>8.0000000000000099E-2</v>
      </c>
      <c r="E1410">
        <f t="shared" si="178"/>
        <v>8.0000000000000196E-2</v>
      </c>
      <c r="P1410">
        <f t="shared" si="182"/>
        <v>0</v>
      </c>
      <c r="Q1410">
        <f t="shared" si="183"/>
        <v>0</v>
      </c>
    </row>
    <row r="1411" spans="1:17" x14ac:dyDescent="0.45">
      <c r="A1411">
        <v>7.0199999999998797</v>
      </c>
      <c r="B1411">
        <f t="shared" si="179"/>
        <v>2.9999999999999638E-2</v>
      </c>
      <c r="C1411">
        <f t="shared" si="180"/>
        <v>0.13000000000000037</v>
      </c>
      <c r="D1411">
        <f t="shared" si="181"/>
        <v>8.0000000000000099E-2</v>
      </c>
      <c r="E1411">
        <f t="shared" si="178"/>
        <v>8.0000000000000196E-2</v>
      </c>
      <c r="P1411">
        <f t="shared" si="182"/>
        <v>0</v>
      </c>
      <c r="Q1411">
        <f t="shared" si="183"/>
        <v>0</v>
      </c>
    </row>
    <row r="1412" spans="1:17" x14ac:dyDescent="0.45">
      <c r="A1412">
        <v>7.0249999999998796</v>
      </c>
      <c r="B1412">
        <f t="shared" si="179"/>
        <v>2.9999999999999652E-2</v>
      </c>
      <c r="C1412">
        <f t="shared" si="180"/>
        <v>0.13000000000000034</v>
      </c>
      <c r="D1412">
        <f t="shared" si="181"/>
        <v>8.0000000000000099E-2</v>
      </c>
      <c r="E1412">
        <f t="shared" si="178"/>
        <v>8.0000000000000182E-2</v>
      </c>
      <c r="P1412">
        <f t="shared" si="182"/>
        <v>0</v>
      </c>
      <c r="Q1412">
        <f t="shared" si="183"/>
        <v>0</v>
      </c>
    </row>
    <row r="1413" spans="1:17" x14ac:dyDescent="0.45">
      <c r="A1413">
        <v>7.0299999999998803</v>
      </c>
      <c r="B1413">
        <f t="shared" si="179"/>
        <v>2.9999999999999652E-2</v>
      </c>
      <c r="C1413">
        <f t="shared" si="180"/>
        <v>0.13000000000000034</v>
      </c>
      <c r="D1413">
        <f t="shared" si="181"/>
        <v>8.0000000000000099E-2</v>
      </c>
      <c r="E1413">
        <f t="shared" si="178"/>
        <v>8.0000000000000168E-2</v>
      </c>
      <c r="P1413">
        <f t="shared" si="182"/>
        <v>0</v>
      </c>
      <c r="Q1413">
        <f t="shared" si="183"/>
        <v>0</v>
      </c>
    </row>
    <row r="1414" spans="1:17" x14ac:dyDescent="0.45">
      <c r="A1414">
        <v>7.0349999999998802</v>
      </c>
      <c r="B1414">
        <f t="shared" si="179"/>
        <v>2.9999999999999666E-2</v>
      </c>
      <c r="C1414">
        <f t="shared" si="180"/>
        <v>0.13000000000000034</v>
      </c>
      <c r="D1414">
        <f t="shared" si="181"/>
        <v>8.0000000000000085E-2</v>
      </c>
      <c r="E1414">
        <f t="shared" si="178"/>
        <v>8.0000000000000168E-2</v>
      </c>
      <c r="P1414">
        <f t="shared" si="182"/>
        <v>0</v>
      </c>
      <c r="Q1414">
        <f t="shared" si="183"/>
        <v>0</v>
      </c>
    </row>
    <row r="1415" spans="1:17" x14ac:dyDescent="0.45">
      <c r="A1415">
        <v>7.0399999999998801</v>
      </c>
      <c r="B1415">
        <f t="shared" si="179"/>
        <v>2.999999999999968E-2</v>
      </c>
      <c r="C1415">
        <f t="shared" si="180"/>
        <v>0.13000000000000034</v>
      </c>
      <c r="D1415">
        <f t="shared" si="181"/>
        <v>8.0000000000000085E-2</v>
      </c>
      <c r="E1415">
        <f t="shared" ref="E1415:E1478" si="184">P0-SIGN(DeltaThetaDeg)*EXP(-Xi*Wn*A1415)*(COS(Wd*A1415)-(Xi*Wn-1)/(Wd)*SIN(Wd*A1415))*Ppeak</f>
        <v>8.0000000000000154E-2</v>
      </c>
      <c r="P1415">
        <f t="shared" si="182"/>
        <v>0</v>
      </c>
      <c r="Q1415">
        <f t="shared" si="183"/>
        <v>0</v>
      </c>
    </row>
    <row r="1416" spans="1:17" x14ac:dyDescent="0.45">
      <c r="A1416">
        <v>7.04499999999988</v>
      </c>
      <c r="B1416">
        <f t="shared" si="179"/>
        <v>2.999999999999968E-2</v>
      </c>
      <c r="C1416">
        <f t="shared" si="180"/>
        <v>0.13000000000000034</v>
      </c>
      <c r="D1416">
        <f t="shared" si="181"/>
        <v>8.0000000000000085E-2</v>
      </c>
      <c r="E1416">
        <f t="shared" si="184"/>
        <v>8.000000000000014E-2</v>
      </c>
      <c r="P1416">
        <f t="shared" si="182"/>
        <v>0</v>
      </c>
      <c r="Q1416">
        <f t="shared" si="183"/>
        <v>0</v>
      </c>
    </row>
    <row r="1417" spans="1:17" x14ac:dyDescent="0.45">
      <c r="A1417">
        <v>7.0499999999998799</v>
      </c>
      <c r="B1417">
        <f t="shared" ref="B1417:B1480" si="185">P0-Ppeak*(1+Marge_haute)*EXP(-Sigma*A1415)-Tunnel</f>
        <v>2.9999999999999694E-2</v>
      </c>
      <c r="C1417">
        <f t="shared" ref="C1417:C1480" si="186">P0+Ppeak*(1+Marge_haute)*EXP(-Sigma*A1415)+Tunnel</f>
        <v>0.13000000000000031</v>
      </c>
      <c r="D1417">
        <f t="shared" ref="D1417:D1480" si="187">P0-SIGN(DeltaThetaDeg)*Marge_basse*Ppeak*EXP(-Sigma*A1415)</f>
        <v>8.0000000000000085E-2</v>
      </c>
      <c r="E1417">
        <f t="shared" si="184"/>
        <v>8.000000000000014E-2</v>
      </c>
      <c r="P1417">
        <f t="shared" si="182"/>
        <v>0</v>
      </c>
      <c r="Q1417">
        <f t="shared" si="183"/>
        <v>0</v>
      </c>
    </row>
    <row r="1418" spans="1:17" x14ac:dyDescent="0.45">
      <c r="A1418">
        <v>7.0549999999998798</v>
      </c>
      <c r="B1418">
        <f t="shared" si="185"/>
        <v>2.9999999999999694E-2</v>
      </c>
      <c r="C1418">
        <f t="shared" si="186"/>
        <v>0.13000000000000031</v>
      </c>
      <c r="D1418">
        <f t="shared" si="187"/>
        <v>8.0000000000000085E-2</v>
      </c>
      <c r="E1418">
        <f t="shared" si="184"/>
        <v>8.0000000000000127E-2</v>
      </c>
      <c r="P1418">
        <f t="shared" si="182"/>
        <v>0</v>
      </c>
      <c r="Q1418">
        <f t="shared" si="183"/>
        <v>0</v>
      </c>
    </row>
    <row r="1419" spans="1:17" x14ac:dyDescent="0.45">
      <c r="A1419">
        <v>7.0599999999998797</v>
      </c>
      <c r="B1419">
        <f t="shared" si="185"/>
        <v>2.9999999999999707E-2</v>
      </c>
      <c r="C1419">
        <f t="shared" si="186"/>
        <v>0.13000000000000028</v>
      </c>
      <c r="D1419">
        <f t="shared" si="187"/>
        <v>8.0000000000000085E-2</v>
      </c>
      <c r="E1419">
        <f t="shared" si="184"/>
        <v>8.0000000000000113E-2</v>
      </c>
      <c r="P1419">
        <f t="shared" ref="P1419:P1482" si="188">IF(EMT_simulation,N1415,N1419)</f>
        <v>0</v>
      </c>
      <c r="Q1419">
        <f t="shared" ref="Q1419:Q1482" si="189">IF(EMT_simulation,O1415,O1419)</f>
        <v>0</v>
      </c>
    </row>
    <row r="1420" spans="1:17" x14ac:dyDescent="0.45">
      <c r="A1420">
        <v>7.0649999999998796</v>
      </c>
      <c r="B1420">
        <f t="shared" si="185"/>
        <v>2.9999999999999707E-2</v>
      </c>
      <c r="C1420">
        <f t="shared" si="186"/>
        <v>0.13000000000000028</v>
      </c>
      <c r="D1420">
        <f t="shared" si="187"/>
        <v>8.0000000000000071E-2</v>
      </c>
      <c r="E1420">
        <f t="shared" si="184"/>
        <v>8.0000000000000113E-2</v>
      </c>
      <c r="P1420">
        <f t="shared" si="188"/>
        <v>0</v>
      </c>
      <c r="Q1420">
        <f t="shared" si="189"/>
        <v>0</v>
      </c>
    </row>
    <row r="1421" spans="1:17" x14ac:dyDescent="0.45">
      <c r="A1421">
        <v>7.0699999999998804</v>
      </c>
      <c r="B1421">
        <f t="shared" si="185"/>
        <v>2.9999999999999721E-2</v>
      </c>
      <c r="C1421">
        <f t="shared" si="186"/>
        <v>0.13000000000000028</v>
      </c>
      <c r="D1421">
        <f t="shared" si="187"/>
        <v>8.0000000000000071E-2</v>
      </c>
      <c r="E1421">
        <f t="shared" si="184"/>
        <v>8.0000000000000099E-2</v>
      </c>
      <c r="P1421">
        <f t="shared" si="188"/>
        <v>0</v>
      </c>
      <c r="Q1421">
        <f t="shared" si="189"/>
        <v>0</v>
      </c>
    </row>
    <row r="1422" spans="1:17" x14ac:dyDescent="0.45">
      <c r="A1422">
        <v>7.0749999999998803</v>
      </c>
      <c r="B1422">
        <f t="shared" si="185"/>
        <v>2.9999999999999721E-2</v>
      </c>
      <c r="C1422">
        <f t="shared" si="186"/>
        <v>0.13000000000000028</v>
      </c>
      <c r="D1422">
        <f t="shared" si="187"/>
        <v>8.0000000000000071E-2</v>
      </c>
      <c r="E1422">
        <f t="shared" si="184"/>
        <v>8.0000000000000099E-2</v>
      </c>
      <c r="P1422">
        <f t="shared" si="188"/>
        <v>0</v>
      </c>
      <c r="Q1422">
        <f t="shared" si="189"/>
        <v>0</v>
      </c>
    </row>
    <row r="1423" spans="1:17" x14ac:dyDescent="0.45">
      <c r="A1423">
        <v>7.0799999999998802</v>
      </c>
      <c r="B1423">
        <f t="shared" si="185"/>
        <v>2.9999999999999735E-2</v>
      </c>
      <c r="C1423">
        <f t="shared" si="186"/>
        <v>0.13000000000000028</v>
      </c>
      <c r="D1423">
        <f t="shared" si="187"/>
        <v>8.0000000000000071E-2</v>
      </c>
      <c r="E1423">
        <f t="shared" si="184"/>
        <v>8.0000000000000085E-2</v>
      </c>
      <c r="P1423">
        <f t="shared" si="188"/>
        <v>0</v>
      </c>
      <c r="Q1423">
        <f t="shared" si="189"/>
        <v>0</v>
      </c>
    </row>
    <row r="1424" spans="1:17" x14ac:dyDescent="0.45">
      <c r="A1424">
        <v>7.0849999999998801</v>
      </c>
      <c r="B1424">
        <f t="shared" si="185"/>
        <v>2.9999999999999735E-2</v>
      </c>
      <c r="C1424">
        <f t="shared" si="186"/>
        <v>0.13000000000000028</v>
      </c>
      <c r="D1424">
        <f t="shared" si="187"/>
        <v>8.0000000000000071E-2</v>
      </c>
      <c r="E1424">
        <f t="shared" si="184"/>
        <v>8.0000000000000085E-2</v>
      </c>
      <c r="P1424">
        <f t="shared" si="188"/>
        <v>0</v>
      </c>
      <c r="Q1424">
        <f t="shared" si="189"/>
        <v>0</v>
      </c>
    </row>
    <row r="1425" spans="1:17" x14ac:dyDescent="0.45">
      <c r="A1425">
        <v>7.08999999999988</v>
      </c>
      <c r="B1425">
        <f t="shared" si="185"/>
        <v>2.9999999999999749E-2</v>
      </c>
      <c r="C1425">
        <f t="shared" si="186"/>
        <v>0.13000000000000025</v>
      </c>
      <c r="D1425">
        <f t="shared" si="187"/>
        <v>8.0000000000000071E-2</v>
      </c>
      <c r="E1425">
        <f t="shared" si="184"/>
        <v>8.0000000000000071E-2</v>
      </c>
      <c r="P1425">
        <f t="shared" si="188"/>
        <v>0</v>
      </c>
      <c r="Q1425">
        <f t="shared" si="189"/>
        <v>0</v>
      </c>
    </row>
    <row r="1426" spans="1:17" x14ac:dyDescent="0.45">
      <c r="A1426">
        <v>7.0949999999998798</v>
      </c>
      <c r="B1426">
        <f t="shared" si="185"/>
        <v>2.9999999999999749E-2</v>
      </c>
      <c r="C1426">
        <f t="shared" si="186"/>
        <v>0.13000000000000025</v>
      </c>
      <c r="D1426">
        <f t="shared" si="187"/>
        <v>8.0000000000000071E-2</v>
      </c>
      <c r="E1426">
        <f t="shared" si="184"/>
        <v>8.0000000000000071E-2</v>
      </c>
      <c r="P1426">
        <f t="shared" si="188"/>
        <v>0</v>
      </c>
      <c r="Q1426">
        <f t="shared" si="189"/>
        <v>0</v>
      </c>
    </row>
    <row r="1427" spans="1:17" x14ac:dyDescent="0.45">
      <c r="A1427">
        <v>7.0999999999998797</v>
      </c>
      <c r="B1427">
        <f t="shared" si="185"/>
        <v>2.9999999999999763E-2</v>
      </c>
      <c r="C1427">
        <f t="shared" si="186"/>
        <v>0.13000000000000023</v>
      </c>
      <c r="D1427">
        <f t="shared" si="187"/>
        <v>8.0000000000000071E-2</v>
      </c>
      <c r="E1427">
        <f t="shared" si="184"/>
        <v>8.0000000000000057E-2</v>
      </c>
      <c r="P1427">
        <f t="shared" si="188"/>
        <v>0</v>
      </c>
      <c r="Q1427">
        <f t="shared" si="189"/>
        <v>0</v>
      </c>
    </row>
    <row r="1428" spans="1:17" x14ac:dyDescent="0.45">
      <c r="A1428">
        <v>7.1049999999998796</v>
      </c>
      <c r="B1428">
        <f t="shared" si="185"/>
        <v>2.9999999999999763E-2</v>
      </c>
      <c r="C1428">
        <f t="shared" si="186"/>
        <v>0.13000000000000023</v>
      </c>
      <c r="D1428">
        <f t="shared" si="187"/>
        <v>8.0000000000000071E-2</v>
      </c>
      <c r="E1428">
        <f t="shared" si="184"/>
        <v>8.0000000000000057E-2</v>
      </c>
      <c r="P1428">
        <f t="shared" si="188"/>
        <v>0</v>
      </c>
      <c r="Q1428">
        <f t="shared" si="189"/>
        <v>0</v>
      </c>
    </row>
    <row r="1429" spans="1:17" x14ac:dyDescent="0.45">
      <c r="A1429">
        <v>7.1099999999998804</v>
      </c>
      <c r="B1429">
        <f t="shared" si="185"/>
        <v>2.9999999999999777E-2</v>
      </c>
      <c r="C1429">
        <f t="shared" si="186"/>
        <v>0.13000000000000023</v>
      </c>
      <c r="D1429">
        <f t="shared" si="187"/>
        <v>8.0000000000000057E-2</v>
      </c>
      <c r="E1429">
        <f t="shared" si="184"/>
        <v>8.0000000000000043E-2</v>
      </c>
      <c r="P1429">
        <f t="shared" si="188"/>
        <v>0</v>
      </c>
      <c r="Q1429">
        <f t="shared" si="189"/>
        <v>0</v>
      </c>
    </row>
    <row r="1430" spans="1:17" x14ac:dyDescent="0.45">
      <c r="A1430">
        <v>7.1149999999998803</v>
      </c>
      <c r="B1430">
        <f t="shared" si="185"/>
        <v>2.9999999999999777E-2</v>
      </c>
      <c r="C1430">
        <f t="shared" si="186"/>
        <v>0.13000000000000023</v>
      </c>
      <c r="D1430">
        <f t="shared" si="187"/>
        <v>8.0000000000000057E-2</v>
      </c>
      <c r="E1430">
        <f t="shared" si="184"/>
        <v>8.0000000000000043E-2</v>
      </c>
      <c r="P1430">
        <f t="shared" si="188"/>
        <v>0</v>
      </c>
      <c r="Q1430">
        <f t="shared" si="189"/>
        <v>0</v>
      </c>
    </row>
    <row r="1431" spans="1:17" x14ac:dyDescent="0.45">
      <c r="A1431">
        <v>7.1199999999998802</v>
      </c>
      <c r="B1431">
        <f t="shared" si="185"/>
        <v>2.9999999999999777E-2</v>
      </c>
      <c r="C1431">
        <f t="shared" si="186"/>
        <v>0.13000000000000023</v>
      </c>
      <c r="D1431">
        <f t="shared" si="187"/>
        <v>8.0000000000000057E-2</v>
      </c>
      <c r="E1431">
        <f t="shared" si="184"/>
        <v>8.0000000000000029E-2</v>
      </c>
      <c r="P1431">
        <f t="shared" si="188"/>
        <v>0</v>
      </c>
      <c r="Q1431">
        <f t="shared" si="189"/>
        <v>0</v>
      </c>
    </row>
    <row r="1432" spans="1:17" x14ac:dyDescent="0.45">
      <c r="A1432">
        <v>7.1249999999998801</v>
      </c>
      <c r="B1432">
        <f t="shared" si="185"/>
        <v>2.9999999999999791E-2</v>
      </c>
      <c r="C1432">
        <f t="shared" si="186"/>
        <v>0.13000000000000023</v>
      </c>
      <c r="D1432">
        <f t="shared" si="187"/>
        <v>8.0000000000000057E-2</v>
      </c>
      <c r="E1432">
        <f t="shared" si="184"/>
        <v>8.0000000000000029E-2</v>
      </c>
      <c r="P1432">
        <f t="shared" si="188"/>
        <v>0</v>
      </c>
      <c r="Q1432">
        <f t="shared" si="189"/>
        <v>0</v>
      </c>
    </row>
    <row r="1433" spans="1:17" x14ac:dyDescent="0.45">
      <c r="A1433">
        <v>7.12999999999988</v>
      </c>
      <c r="B1433">
        <f t="shared" si="185"/>
        <v>2.9999999999999791E-2</v>
      </c>
      <c r="C1433">
        <f t="shared" si="186"/>
        <v>0.13000000000000023</v>
      </c>
      <c r="D1433">
        <f t="shared" si="187"/>
        <v>8.0000000000000057E-2</v>
      </c>
      <c r="E1433">
        <f t="shared" si="184"/>
        <v>8.0000000000000029E-2</v>
      </c>
      <c r="P1433">
        <f t="shared" si="188"/>
        <v>0</v>
      </c>
      <c r="Q1433">
        <f t="shared" si="189"/>
        <v>0</v>
      </c>
    </row>
    <row r="1434" spans="1:17" x14ac:dyDescent="0.45">
      <c r="A1434">
        <v>7.1349999999998799</v>
      </c>
      <c r="B1434">
        <f t="shared" si="185"/>
        <v>2.9999999999999791E-2</v>
      </c>
      <c r="C1434">
        <f t="shared" si="186"/>
        <v>0.13000000000000023</v>
      </c>
      <c r="D1434">
        <f t="shared" si="187"/>
        <v>8.0000000000000057E-2</v>
      </c>
      <c r="E1434">
        <f t="shared" si="184"/>
        <v>8.0000000000000016E-2</v>
      </c>
      <c r="P1434">
        <f t="shared" si="188"/>
        <v>0</v>
      </c>
      <c r="Q1434">
        <f t="shared" si="189"/>
        <v>0</v>
      </c>
    </row>
    <row r="1435" spans="1:17" x14ac:dyDescent="0.45">
      <c r="A1435">
        <v>7.1399999999998798</v>
      </c>
      <c r="B1435">
        <f t="shared" si="185"/>
        <v>2.9999999999999805E-2</v>
      </c>
      <c r="C1435">
        <f t="shared" si="186"/>
        <v>0.1300000000000002</v>
      </c>
      <c r="D1435">
        <f t="shared" si="187"/>
        <v>8.0000000000000057E-2</v>
      </c>
      <c r="E1435">
        <f t="shared" si="184"/>
        <v>8.0000000000000016E-2</v>
      </c>
      <c r="P1435">
        <f t="shared" si="188"/>
        <v>0</v>
      </c>
      <c r="Q1435">
        <f t="shared" si="189"/>
        <v>0</v>
      </c>
    </row>
    <row r="1436" spans="1:17" x14ac:dyDescent="0.45">
      <c r="A1436">
        <v>7.1449999999998797</v>
      </c>
      <c r="B1436">
        <f t="shared" si="185"/>
        <v>2.9999999999999805E-2</v>
      </c>
      <c r="C1436">
        <f t="shared" si="186"/>
        <v>0.1300000000000002</v>
      </c>
      <c r="D1436">
        <f t="shared" si="187"/>
        <v>8.0000000000000057E-2</v>
      </c>
      <c r="E1436">
        <f t="shared" si="184"/>
        <v>8.0000000000000016E-2</v>
      </c>
      <c r="P1436">
        <f t="shared" si="188"/>
        <v>0</v>
      </c>
      <c r="Q1436">
        <f t="shared" si="189"/>
        <v>0</v>
      </c>
    </row>
    <row r="1437" spans="1:17" x14ac:dyDescent="0.45">
      <c r="A1437">
        <v>7.1499999999998796</v>
      </c>
      <c r="B1437">
        <f t="shared" si="185"/>
        <v>2.9999999999999818E-2</v>
      </c>
      <c r="C1437">
        <f t="shared" si="186"/>
        <v>0.13000000000000017</v>
      </c>
      <c r="D1437">
        <f t="shared" si="187"/>
        <v>8.0000000000000057E-2</v>
      </c>
      <c r="E1437">
        <f t="shared" si="184"/>
        <v>0.08</v>
      </c>
      <c r="P1437">
        <f t="shared" si="188"/>
        <v>0</v>
      </c>
      <c r="Q1437">
        <f t="shared" si="189"/>
        <v>0</v>
      </c>
    </row>
    <row r="1438" spans="1:17" x14ac:dyDescent="0.45">
      <c r="A1438">
        <v>7.1549999999998803</v>
      </c>
      <c r="B1438">
        <f t="shared" si="185"/>
        <v>2.9999999999999818E-2</v>
      </c>
      <c r="C1438">
        <f t="shared" si="186"/>
        <v>0.13000000000000017</v>
      </c>
      <c r="D1438">
        <f t="shared" si="187"/>
        <v>8.0000000000000057E-2</v>
      </c>
      <c r="E1438">
        <f t="shared" si="184"/>
        <v>0.08</v>
      </c>
      <c r="P1438">
        <f t="shared" si="188"/>
        <v>0</v>
      </c>
      <c r="Q1438">
        <f t="shared" si="189"/>
        <v>0</v>
      </c>
    </row>
    <row r="1439" spans="1:17" x14ac:dyDescent="0.45">
      <c r="A1439">
        <v>7.1599999999998802</v>
      </c>
      <c r="B1439">
        <f t="shared" si="185"/>
        <v>2.9999999999999818E-2</v>
      </c>
      <c r="C1439">
        <f t="shared" si="186"/>
        <v>0.13000000000000017</v>
      </c>
      <c r="D1439">
        <f t="shared" si="187"/>
        <v>8.0000000000000043E-2</v>
      </c>
      <c r="E1439">
        <f t="shared" si="184"/>
        <v>0.08</v>
      </c>
      <c r="P1439">
        <f t="shared" si="188"/>
        <v>0</v>
      </c>
      <c r="Q1439">
        <f t="shared" si="189"/>
        <v>0</v>
      </c>
    </row>
    <row r="1440" spans="1:17" x14ac:dyDescent="0.45">
      <c r="A1440">
        <v>7.1649999999998801</v>
      </c>
      <c r="B1440">
        <f t="shared" si="185"/>
        <v>2.9999999999999818E-2</v>
      </c>
      <c r="C1440">
        <f t="shared" si="186"/>
        <v>0.13000000000000017</v>
      </c>
      <c r="D1440">
        <f t="shared" si="187"/>
        <v>8.0000000000000043E-2</v>
      </c>
      <c r="E1440">
        <f t="shared" si="184"/>
        <v>0.08</v>
      </c>
      <c r="P1440">
        <f t="shared" si="188"/>
        <v>0</v>
      </c>
      <c r="Q1440">
        <f t="shared" si="189"/>
        <v>0</v>
      </c>
    </row>
    <row r="1441" spans="1:17" x14ac:dyDescent="0.45">
      <c r="A1441">
        <v>7.16999999999988</v>
      </c>
      <c r="B1441">
        <f t="shared" si="185"/>
        <v>2.9999999999999832E-2</v>
      </c>
      <c r="C1441">
        <f t="shared" si="186"/>
        <v>0.13000000000000017</v>
      </c>
      <c r="D1441">
        <f t="shared" si="187"/>
        <v>8.0000000000000043E-2</v>
      </c>
      <c r="E1441">
        <f t="shared" si="184"/>
        <v>7.9999999999999988E-2</v>
      </c>
      <c r="P1441">
        <f t="shared" si="188"/>
        <v>0</v>
      </c>
      <c r="Q1441">
        <f t="shared" si="189"/>
        <v>0</v>
      </c>
    </row>
    <row r="1442" spans="1:17" x14ac:dyDescent="0.45">
      <c r="A1442">
        <v>7.1749999999998701</v>
      </c>
      <c r="B1442">
        <f t="shared" si="185"/>
        <v>2.9999999999999832E-2</v>
      </c>
      <c r="C1442">
        <f t="shared" si="186"/>
        <v>0.13000000000000017</v>
      </c>
      <c r="D1442">
        <f t="shared" si="187"/>
        <v>8.0000000000000043E-2</v>
      </c>
      <c r="E1442">
        <f t="shared" si="184"/>
        <v>7.9999999999999988E-2</v>
      </c>
      <c r="P1442">
        <f t="shared" si="188"/>
        <v>0</v>
      </c>
      <c r="Q1442">
        <f t="shared" si="189"/>
        <v>0</v>
      </c>
    </row>
    <row r="1443" spans="1:17" x14ac:dyDescent="0.45">
      <c r="A1443">
        <v>7.17999999999987</v>
      </c>
      <c r="B1443">
        <f t="shared" si="185"/>
        <v>2.9999999999999832E-2</v>
      </c>
      <c r="C1443">
        <f t="shared" si="186"/>
        <v>0.13000000000000017</v>
      </c>
      <c r="D1443">
        <f t="shared" si="187"/>
        <v>8.0000000000000043E-2</v>
      </c>
      <c r="E1443">
        <f t="shared" si="184"/>
        <v>7.9999999999999988E-2</v>
      </c>
      <c r="P1443">
        <f t="shared" si="188"/>
        <v>0</v>
      </c>
      <c r="Q1443">
        <f t="shared" si="189"/>
        <v>0</v>
      </c>
    </row>
    <row r="1444" spans="1:17" x14ac:dyDescent="0.45">
      <c r="A1444">
        <v>7.1849999999998699</v>
      </c>
      <c r="B1444">
        <f t="shared" si="185"/>
        <v>2.9999999999999846E-2</v>
      </c>
      <c r="C1444">
        <f t="shared" si="186"/>
        <v>0.13000000000000017</v>
      </c>
      <c r="D1444">
        <f t="shared" si="187"/>
        <v>8.0000000000000043E-2</v>
      </c>
      <c r="E1444">
        <f t="shared" si="184"/>
        <v>7.9999999999999988E-2</v>
      </c>
      <c r="P1444">
        <f t="shared" si="188"/>
        <v>0</v>
      </c>
      <c r="Q1444">
        <f t="shared" si="189"/>
        <v>0</v>
      </c>
    </row>
    <row r="1445" spans="1:17" x14ac:dyDescent="0.45">
      <c r="A1445">
        <v>7.1899999999998698</v>
      </c>
      <c r="B1445">
        <f t="shared" si="185"/>
        <v>2.9999999999999846E-2</v>
      </c>
      <c r="C1445">
        <f t="shared" si="186"/>
        <v>0.13000000000000017</v>
      </c>
      <c r="D1445">
        <f t="shared" si="187"/>
        <v>8.0000000000000043E-2</v>
      </c>
      <c r="E1445">
        <f t="shared" si="184"/>
        <v>7.9999999999999974E-2</v>
      </c>
      <c r="P1445">
        <f t="shared" si="188"/>
        <v>0</v>
      </c>
      <c r="Q1445">
        <f t="shared" si="189"/>
        <v>0</v>
      </c>
    </row>
    <row r="1446" spans="1:17" x14ac:dyDescent="0.45">
      <c r="A1446">
        <v>7.1949999999998697</v>
      </c>
      <c r="B1446">
        <f t="shared" si="185"/>
        <v>2.9999999999999846E-2</v>
      </c>
      <c r="C1446">
        <f t="shared" si="186"/>
        <v>0.13000000000000017</v>
      </c>
      <c r="D1446">
        <f t="shared" si="187"/>
        <v>8.0000000000000043E-2</v>
      </c>
      <c r="E1446">
        <f t="shared" si="184"/>
        <v>7.9999999999999974E-2</v>
      </c>
      <c r="P1446">
        <f t="shared" si="188"/>
        <v>0</v>
      </c>
      <c r="Q1446">
        <f t="shared" si="189"/>
        <v>0</v>
      </c>
    </row>
    <row r="1447" spans="1:17" x14ac:dyDescent="0.45">
      <c r="A1447">
        <v>7.1999999999998696</v>
      </c>
      <c r="B1447">
        <f t="shared" si="185"/>
        <v>2.9999999999999846E-2</v>
      </c>
      <c r="C1447">
        <f t="shared" si="186"/>
        <v>0.13000000000000017</v>
      </c>
      <c r="D1447">
        <f t="shared" si="187"/>
        <v>8.0000000000000043E-2</v>
      </c>
      <c r="E1447">
        <f t="shared" si="184"/>
        <v>7.9999999999999974E-2</v>
      </c>
      <c r="P1447">
        <f t="shared" si="188"/>
        <v>0</v>
      </c>
      <c r="Q1447">
        <f t="shared" si="189"/>
        <v>0</v>
      </c>
    </row>
    <row r="1448" spans="1:17" x14ac:dyDescent="0.45">
      <c r="A1448">
        <v>7.2049999999998704</v>
      </c>
      <c r="B1448">
        <f t="shared" si="185"/>
        <v>2.999999999999986E-2</v>
      </c>
      <c r="C1448">
        <f t="shared" si="186"/>
        <v>0.13000000000000014</v>
      </c>
      <c r="D1448">
        <f t="shared" si="187"/>
        <v>8.0000000000000043E-2</v>
      </c>
      <c r="E1448">
        <f t="shared" si="184"/>
        <v>7.9999999999999974E-2</v>
      </c>
      <c r="P1448">
        <f t="shared" si="188"/>
        <v>0</v>
      </c>
      <c r="Q1448">
        <f t="shared" si="189"/>
        <v>0</v>
      </c>
    </row>
    <row r="1449" spans="1:17" x14ac:dyDescent="0.45">
      <c r="A1449">
        <v>7.2099999999998703</v>
      </c>
      <c r="B1449">
        <f t="shared" si="185"/>
        <v>2.999999999999986E-2</v>
      </c>
      <c r="C1449">
        <f t="shared" si="186"/>
        <v>0.13000000000000014</v>
      </c>
      <c r="D1449">
        <f t="shared" si="187"/>
        <v>8.0000000000000043E-2</v>
      </c>
      <c r="E1449">
        <f t="shared" si="184"/>
        <v>7.9999999999999974E-2</v>
      </c>
      <c r="P1449">
        <f t="shared" si="188"/>
        <v>0</v>
      </c>
      <c r="Q1449">
        <f t="shared" si="189"/>
        <v>0</v>
      </c>
    </row>
    <row r="1450" spans="1:17" x14ac:dyDescent="0.45">
      <c r="A1450">
        <v>7.2149999999998702</v>
      </c>
      <c r="B1450">
        <f t="shared" si="185"/>
        <v>2.999999999999986E-2</v>
      </c>
      <c r="C1450">
        <f t="shared" si="186"/>
        <v>0.13000000000000014</v>
      </c>
      <c r="D1450">
        <f t="shared" si="187"/>
        <v>8.0000000000000043E-2</v>
      </c>
      <c r="E1450">
        <f t="shared" si="184"/>
        <v>7.9999999999999974E-2</v>
      </c>
      <c r="P1450">
        <f t="shared" si="188"/>
        <v>0</v>
      </c>
      <c r="Q1450">
        <f t="shared" si="189"/>
        <v>0</v>
      </c>
    </row>
    <row r="1451" spans="1:17" x14ac:dyDescent="0.45">
      <c r="A1451">
        <v>7.2199999999998701</v>
      </c>
      <c r="B1451">
        <f t="shared" si="185"/>
        <v>2.999999999999986E-2</v>
      </c>
      <c r="C1451">
        <f t="shared" si="186"/>
        <v>0.13000000000000014</v>
      </c>
      <c r="D1451">
        <f t="shared" si="187"/>
        <v>8.0000000000000043E-2</v>
      </c>
      <c r="E1451">
        <f t="shared" si="184"/>
        <v>7.999999999999996E-2</v>
      </c>
      <c r="P1451">
        <f t="shared" si="188"/>
        <v>0</v>
      </c>
      <c r="Q1451">
        <f t="shared" si="189"/>
        <v>0</v>
      </c>
    </row>
    <row r="1452" spans="1:17" x14ac:dyDescent="0.45">
      <c r="A1452">
        <v>7.22499999999987</v>
      </c>
      <c r="B1452">
        <f t="shared" si="185"/>
        <v>2.9999999999999874E-2</v>
      </c>
      <c r="C1452">
        <f t="shared" si="186"/>
        <v>0.13000000000000012</v>
      </c>
      <c r="D1452">
        <f t="shared" si="187"/>
        <v>8.0000000000000029E-2</v>
      </c>
      <c r="E1452">
        <f t="shared" si="184"/>
        <v>7.999999999999996E-2</v>
      </c>
      <c r="P1452">
        <f t="shared" si="188"/>
        <v>0</v>
      </c>
      <c r="Q1452">
        <f t="shared" si="189"/>
        <v>0</v>
      </c>
    </row>
    <row r="1453" spans="1:17" x14ac:dyDescent="0.45">
      <c r="A1453">
        <v>7.2299999999998699</v>
      </c>
      <c r="B1453">
        <f t="shared" si="185"/>
        <v>2.9999999999999874E-2</v>
      </c>
      <c r="C1453">
        <f t="shared" si="186"/>
        <v>0.13000000000000012</v>
      </c>
      <c r="D1453">
        <f t="shared" si="187"/>
        <v>8.0000000000000029E-2</v>
      </c>
      <c r="E1453">
        <f t="shared" si="184"/>
        <v>7.999999999999996E-2</v>
      </c>
      <c r="P1453">
        <f t="shared" si="188"/>
        <v>0</v>
      </c>
      <c r="Q1453">
        <f t="shared" si="189"/>
        <v>0</v>
      </c>
    </row>
    <row r="1454" spans="1:17" x14ac:dyDescent="0.45">
      <c r="A1454">
        <v>7.2349999999998698</v>
      </c>
      <c r="B1454">
        <f t="shared" si="185"/>
        <v>2.9999999999999874E-2</v>
      </c>
      <c r="C1454">
        <f t="shared" si="186"/>
        <v>0.13000000000000012</v>
      </c>
      <c r="D1454">
        <f t="shared" si="187"/>
        <v>8.0000000000000029E-2</v>
      </c>
      <c r="E1454">
        <f t="shared" si="184"/>
        <v>7.999999999999996E-2</v>
      </c>
      <c r="P1454">
        <f t="shared" si="188"/>
        <v>0</v>
      </c>
      <c r="Q1454">
        <f t="shared" si="189"/>
        <v>0</v>
      </c>
    </row>
    <row r="1455" spans="1:17" x14ac:dyDescent="0.45">
      <c r="A1455">
        <v>7.2399999999998697</v>
      </c>
      <c r="B1455">
        <f t="shared" si="185"/>
        <v>2.9999999999999874E-2</v>
      </c>
      <c r="C1455">
        <f t="shared" si="186"/>
        <v>0.13000000000000012</v>
      </c>
      <c r="D1455">
        <f t="shared" si="187"/>
        <v>8.0000000000000029E-2</v>
      </c>
      <c r="E1455">
        <f t="shared" si="184"/>
        <v>7.999999999999996E-2</v>
      </c>
      <c r="P1455">
        <f t="shared" si="188"/>
        <v>0</v>
      </c>
      <c r="Q1455">
        <f t="shared" si="189"/>
        <v>0</v>
      </c>
    </row>
    <row r="1456" spans="1:17" x14ac:dyDescent="0.45">
      <c r="A1456">
        <v>7.2449999999998704</v>
      </c>
      <c r="B1456">
        <f t="shared" si="185"/>
        <v>2.9999999999999888E-2</v>
      </c>
      <c r="C1456">
        <f t="shared" si="186"/>
        <v>0.13000000000000012</v>
      </c>
      <c r="D1456">
        <f t="shared" si="187"/>
        <v>8.0000000000000029E-2</v>
      </c>
      <c r="E1456">
        <f t="shared" si="184"/>
        <v>7.999999999999996E-2</v>
      </c>
      <c r="P1456">
        <f t="shared" si="188"/>
        <v>0</v>
      </c>
      <c r="Q1456">
        <f t="shared" si="189"/>
        <v>0</v>
      </c>
    </row>
    <row r="1457" spans="1:17" x14ac:dyDescent="0.45">
      <c r="A1457">
        <v>7.2499999999998703</v>
      </c>
      <c r="B1457">
        <f t="shared" si="185"/>
        <v>2.9999999999999888E-2</v>
      </c>
      <c r="C1457">
        <f t="shared" si="186"/>
        <v>0.13000000000000012</v>
      </c>
      <c r="D1457">
        <f t="shared" si="187"/>
        <v>8.0000000000000029E-2</v>
      </c>
      <c r="E1457">
        <f t="shared" si="184"/>
        <v>7.999999999999996E-2</v>
      </c>
      <c r="P1457">
        <f t="shared" si="188"/>
        <v>0</v>
      </c>
      <c r="Q1457">
        <f t="shared" si="189"/>
        <v>0</v>
      </c>
    </row>
    <row r="1458" spans="1:17" x14ac:dyDescent="0.45">
      <c r="A1458">
        <v>7.2549999999998702</v>
      </c>
      <c r="B1458">
        <f t="shared" si="185"/>
        <v>2.9999999999999888E-2</v>
      </c>
      <c r="C1458">
        <f t="shared" si="186"/>
        <v>0.13000000000000012</v>
      </c>
      <c r="D1458">
        <f t="shared" si="187"/>
        <v>8.0000000000000029E-2</v>
      </c>
      <c r="E1458">
        <f t="shared" si="184"/>
        <v>7.999999999999996E-2</v>
      </c>
      <c r="P1458">
        <f t="shared" si="188"/>
        <v>0</v>
      </c>
      <c r="Q1458">
        <f t="shared" si="189"/>
        <v>0</v>
      </c>
    </row>
    <row r="1459" spans="1:17" x14ac:dyDescent="0.45">
      <c r="A1459">
        <v>7.2599999999998701</v>
      </c>
      <c r="B1459">
        <f t="shared" si="185"/>
        <v>2.9999999999999888E-2</v>
      </c>
      <c r="C1459">
        <f t="shared" si="186"/>
        <v>0.13000000000000012</v>
      </c>
      <c r="D1459">
        <f t="shared" si="187"/>
        <v>8.0000000000000029E-2</v>
      </c>
      <c r="E1459">
        <f t="shared" si="184"/>
        <v>7.999999999999996E-2</v>
      </c>
      <c r="P1459">
        <f t="shared" si="188"/>
        <v>0</v>
      </c>
      <c r="Q1459">
        <f t="shared" si="189"/>
        <v>0</v>
      </c>
    </row>
    <row r="1460" spans="1:17" x14ac:dyDescent="0.45">
      <c r="A1460">
        <v>7.26499999999987</v>
      </c>
      <c r="B1460">
        <f t="shared" si="185"/>
        <v>2.9999999999999888E-2</v>
      </c>
      <c r="C1460">
        <f t="shared" si="186"/>
        <v>0.13000000000000012</v>
      </c>
      <c r="D1460">
        <f t="shared" si="187"/>
        <v>8.0000000000000029E-2</v>
      </c>
      <c r="E1460">
        <f t="shared" si="184"/>
        <v>7.999999999999996E-2</v>
      </c>
      <c r="P1460">
        <f t="shared" si="188"/>
        <v>0</v>
      </c>
      <c r="Q1460">
        <f t="shared" si="189"/>
        <v>0</v>
      </c>
    </row>
    <row r="1461" spans="1:17" x14ac:dyDescent="0.45">
      <c r="A1461">
        <v>7.2699999999998699</v>
      </c>
      <c r="B1461">
        <f t="shared" si="185"/>
        <v>2.9999999999999902E-2</v>
      </c>
      <c r="C1461">
        <f t="shared" si="186"/>
        <v>0.13000000000000012</v>
      </c>
      <c r="D1461">
        <f t="shared" si="187"/>
        <v>8.0000000000000029E-2</v>
      </c>
      <c r="E1461">
        <f t="shared" si="184"/>
        <v>7.999999999999996E-2</v>
      </c>
      <c r="P1461">
        <f t="shared" si="188"/>
        <v>0</v>
      </c>
      <c r="Q1461">
        <f t="shared" si="189"/>
        <v>0</v>
      </c>
    </row>
    <row r="1462" spans="1:17" x14ac:dyDescent="0.45">
      <c r="A1462">
        <v>7.2749999999998698</v>
      </c>
      <c r="B1462">
        <f t="shared" si="185"/>
        <v>2.9999999999999902E-2</v>
      </c>
      <c r="C1462">
        <f t="shared" si="186"/>
        <v>0.13000000000000012</v>
      </c>
      <c r="D1462">
        <f t="shared" si="187"/>
        <v>8.0000000000000029E-2</v>
      </c>
      <c r="E1462">
        <f t="shared" si="184"/>
        <v>7.999999999999996E-2</v>
      </c>
      <c r="P1462">
        <f t="shared" si="188"/>
        <v>0</v>
      </c>
      <c r="Q1462">
        <f t="shared" si="189"/>
        <v>0</v>
      </c>
    </row>
    <row r="1463" spans="1:17" x14ac:dyDescent="0.45">
      <c r="A1463">
        <v>7.2799999999998697</v>
      </c>
      <c r="B1463">
        <f t="shared" si="185"/>
        <v>2.9999999999999902E-2</v>
      </c>
      <c r="C1463">
        <f t="shared" si="186"/>
        <v>0.13000000000000012</v>
      </c>
      <c r="D1463">
        <f t="shared" si="187"/>
        <v>8.0000000000000029E-2</v>
      </c>
      <c r="E1463">
        <f t="shared" si="184"/>
        <v>7.999999999999996E-2</v>
      </c>
      <c r="P1463">
        <f t="shared" si="188"/>
        <v>0</v>
      </c>
      <c r="Q1463">
        <f t="shared" si="189"/>
        <v>0</v>
      </c>
    </row>
    <row r="1464" spans="1:17" x14ac:dyDescent="0.45">
      <c r="A1464">
        <v>7.2849999999998696</v>
      </c>
      <c r="B1464">
        <f t="shared" si="185"/>
        <v>2.9999999999999902E-2</v>
      </c>
      <c r="C1464">
        <f t="shared" si="186"/>
        <v>0.13000000000000012</v>
      </c>
      <c r="D1464">
        <f t="shared" si="187"/>
        <v>8.0000000000000029E-2</v>
      </c>
      <c r="E1464">
        <f t="shared" si="184"/>
        <v>7.999999999999996E-2</v>
      </c>
      <c r="P1464">
        <f t="shared" si="188"/>
        <v>0</v>
      </c>
      <c r="Q1464">
        <f t="shared" si="189"/>
        <v>0</v>
      </c>
    </row>
    <row r="1465" spans="1:17" x14ac:dyDescent="0.45">
      <c r="A1465">
        <v>7.2899999999998704</v>
      </c>
      <c r="B1465">
        <f t="shared" si="185"/>
        <v>2.9999999999999902E-2</v>
      </c>
      <c r="C1465">
        <f t="shared" si="186"/>
        <v>0.13000000000000012</v>
      </c>
      <c r="D1465">
        <f t="shared" si="187"/>
        <v>8.0000000000000029E-2</v>
      </c>
      <c r="E1465">
        <f t="shared" si="184"/>
        <v>7.999999999999996E-2</v>
      </c>
      <c r="P1465">
        <f t="shared" si="188"/>
        <v>0</v>
      </c>
      <c r="Q1465">
        <f t="shared" si="189"/>
        <v>0</v>
      </c>
    </row>
    <row r="1466" spans="1:17" x14ac:dyDescent="0.45">
      <c r="A1466">
        <v>7.2949999999998703</v>
      </c>
      <c r="B1466">
        <f t="shared" si="185"/>
        <v>2.9999999999999902E-2</v>
      </c>
      <c r="C1466">
        <f t="shared" si="186"/>
        <v>0.13000000000000012</v>
      </c>
      <c r="D1466">
        <f t="shared" si="187"/>
        <v>8.0000000000000029E-2</v>
      </c>
      <c r="E1466">
        <f t="shared" si="184"/>
        <v>7.999999999999996E-2</v>
      </c>
      <c r="P1466">
        <f t="shared" si="188"/>
        <v>0</v>
      </c>
      <c r="Q1466">
        <f t="shared" si="189"/>
        <v>0</v>
      </c>
    </row>
    <row r="1467" spans="1:17" x14ac:dyDescent="0.45">
      <c r="A1467">
        <v>7.2999999999998701</v>
      </c>
      <c r="B1467">
        <f t="shared" si="185"/>
        <v>2.9999999999999916E-2</v>
      </c>
      <c r="C1467">
        <f t="shared" si="186"/>
        <v>0.13000000000000009</v>
      </c>
      <c r="D1467">
        <f t="shared" si="187"/>
        <v>8.0000000000000029E-2</v>
      </c>
      <c r="E1467">
        <f t="shared" si="184"/>
        <v>7.9999999999999946E-2</v>
      </c>
      <c r="P1467">
        <f t="shared" si="188"/>
        <v>0</v>
      </c>
      <c r="Q1467">
        <f t="shared" si="189"/>
        <v>0</v>
      </c>
    </row>
    <row r="1468" spans="1:17" x14ac:dyDescent="0.45">
      <c r="A1468">
        <v>7.30499999999987</v>
      </c>
      <c r="B1468">
        <f t="shared" si="185"/>
        <v>2.9999999999999916E-2</v>
      </c>
      <c r="C1468">
        <f t="shared" si="186"/>
        <v>0.13000000000000009</v>
      </c>
      <c r="D1468">
        <f t="shared" si="187"/>
        <v>8.0000000000000029E-2</v>
      </c>
      <c r="E1468">
        <f t="shared" si="184"/>
        <v>7.9999999999999946E-2</v>
      </c>
      <c r="P1468">
        <f t="shared" si="188"/>
        <v>0</v>
      </c>
      <c r="Q1468">
        <f t="shared" si="189"/>
        <v>0</v>
      </c>
    </row>
    <row r="1469" spans="1:17" x14ac:dyDescent="0.45">
      <c r="A1469">
        <v>7.3099999999998699</v>
      </c>
      <c r="B1469">
        <f t="shared" si="185"/>
        <v>2.9999999999999916E-2</v>
      </c>
      <c r="C1469">
        <f t="shared" si="186"/>
        <v>0.13000000000000009</v>
      </c>
      <c r="D1469">
        <f t="shared" si="187"/>
        <v>8.0000000000000029E-2</v>
      </c>
      <c r="E1469">
        <f t="shared" si="184"/>
        <v>7.9999999999999946E-2</v>
      </c>
      <c r="P1469">
        <f t="shared" si="188"/>
        <v>0</v>
      </c>
      <c r="Q1469">
        <f t="shared" si="189"/>
        <v>0</v>
      </c>
    </row>
    <row r="1470" spans="1:17" x14ac:dyDescent="0.45">
      <c r="A1470">
        <v>7.3149999999998698</v>
      </c>
      <c r="B1470">
        <f t="shared" si="185"/>
        <v>2.9999999999999916E-2</v>
      </c>
      <c r="C1470">
        <f t="shared" si="186"/>
        <v>0.13000000000000009</v>
      </c>
      <c r="D1470">
        <f t="shared" si="187"/>
        <v>8.0000000000000029E-2</v>
      </c>
      <c r="E1470">
        <f t="shared" si="184"/>
        <v>7.9999999999999946E-2</v>
      </c>
      <c r="P1470">
        <f t="shared" si="188"/>
        <v>0</v>
      </c>
      <c r="Q1470">
        <f t="shared" si="189"/>
        <v>0</v>
      </c>
    </row>
    <row r="1471" spans="1:17" x14ac:dyDescent="0.45">
      <c r="A1471">
        <v>7.3199999999998697</v>
      </c>
      <c r="B1471">
        <f t="shared" si="185"/>
        <v>2.9999999999999916E-2</v>
      </c>
      <c r="C1471">
        <f t="shared" si="186"/>
        <v>0.13000000000000009</v>
      </c>
      <c r="D1471">
        <f t="shared" si="187"/>
        <v>8.0000000000000029E-2</v>
      </c>
      <c r="E1471">
        <f t="shared" si="184"/>
        <v>7.9999999999999946E-2</v>
      </c>
      <c r="P1471">
        <f t="shared" si="188"/>
        <v>0</v>
      </c>
      <c r="Q1471">
        <f t="shared" si="189"/>
        <v>0</v>
      </c>
    </row>
    <row r="1472" spans="1:17" x14ac:dyDescent="0.45">
      <c r="A1472">
        <v>7.3249999999998696</v>
      </c>
      <c r="B1472">
        <f t="shared" si="185"/>
        <v>2.9999999999999916E-2</v>
      </c>
      <c r="C1472">
        <f t="shared" si="186"/>
        <v>0.13000000000000009</v>
      </c>
      <c r="D1472">
        <f t="shared" si="187"/>
        <v>8.0000000000000016E-2</v>
      </c>
      <c r="E1472">
        <f t="shared" si="184"/>
        <v>7.999999999999996E-2</v>
      </c>
      <c r="P1472">
        <f t="shared" si="188"/>
        <v>0</v>
      </c>
      <c r="Q1472">
        <f t="shared" si="189"/>
        <v>0</v>
      </c>
    </row>
    <row r="1473" spans="1:17" x14ac:dyDescent="0.45">
      <c r="A1473">
        <v>7.3299999999998704</v>
      </c>
      <c r="B1473">
        <f t="shared" si="185"/>
        <v>2.999999999999993E-2</v>
      </c>
      <c r="C1473">
        <f t="shared" si="186"/>
        <v>0.13000000000000006</v>
      </c>
      <c r="D1473">
        <f t="shared" si="187"/>
        <v>8.0000000000000016E-2</v>
      </c>
      <c r="E1473">
        <f t="shared" si="184"/>
        <v>7.999999999999996E-2</v>
      </c>
      <c r="P1473">
        <f t="shared" si="188"/>
        <v>0</v>
      </c>
      <c r="Q1473">
        <f t="shared" si="189"/>
        <v>0</v>
      </c>
    </row>
    <row r="1474" spans="1:17" x14ac:dyDescent="0.45">
      <c r="A1474">
        <v>7.3349999999998703</v>
      </c>
      <c r="B1474">
        <f t="shared" si="185"/>
        <v>2.999999999999993E-2</v>
      </c>
      <c r="C1474">
        <f t="shared" si="186"/>
        <v>0.13000000000000006</v>
      </c>
      <c r="D1474">
        <f t="shared" si="187"/>
        <v>8.0000000000000016E-2</v>
      </c>
      <c r="E1474">
        <f t="shared" si="184"/>
        <v>7.999999999999996E-2</v>
      </c>
      <c r="P1474">
        <f t="shared" si="188"/>
        <v>0</v>
      </c>
      <c r="Q1474">
        <f t="shared" si="189"/>
        <v>0</v>
      </c>
    </row>
    <row r="1475" spans="1:17" x14ac:dyDescent="0.45">
      <c r="A1475">
        <v>7.3399999999998702</v>
      </c>
      <c r="B1475">
        <f t="shared" si="185"/>
        <v>2.999999999999993E-2</v>
      </c>
      <c r="C1475">
        <f t="shared" si="186"/>
        <v>0.13000000000000006</v>
      </c>
      <c r="D1475">
        <f t="shared" si="187"/>
        <v>8.0000000000000016E-2</v>
      </c>
      <c r="E1475">
        <f t="shared" si="184"/>
        <v>7.999999999999996E-2</v>
      </c>
      <c r="P1475">
        <f t="shared" si="188"/>
        <v>0</v>
      </c>
      <c r="Q1475">
        <f t="shared" si="189"/>
        <v>0</v>
      </c>
    </row>
    <row r="1476" spans="1:17" x14ac:dyDescent="0.45">
      <c r="A1476">
        <v>7.3449999999998701</v>
      </c>
      <c r="B1476">
        <f t="shared" si="185"/>
        <v>2.999999999999993E-2</v>
      </c>
      <c r="C1476">
        <f t="shared" si="186"/>
        <v>0.13000000000000006</v>
      </c>
      <c r="D1476">
        <f t="shared" si="187"/>
        <v>8.0000000000000016E-2</v>
      </c>
      <c r="E1476">
        <f t="shared" si="184"/>
        <v>7.999999999999996E-2</v>
      </c>
      <c r="P1476">
        <f t="shared" si="188"/>
        <v>0</v>
      </c>
      <c r="Q1476">
        <f t="shared" si="189"/>
        <v>0</v>
      </c>
    </row>
    <row r="1477" spans="1:17" x14ac:dyDescent="0.45">
      <c r="A1477">
        <v>7.34999999999987</v>
      </c>
      <c r="B1477">
        <f t="shared" si="185"/>
        <v>2.999999999999993E-2</v>
      </c>
      <c r="C1477">
        <f t="shared" si="186"/>
        <v>0.13000000000000006</v>
      </c>
      <c r="D1477">
        <f t="shared" si="187"/>
        <v>8.0000000000000016E-2</v>
      </c>
      <c r="E1477">
        <f t="shared" si="184"/>
        <v>7.999999999999996E-2</v>
      </c>
      <c r="P1477">
        <f t="shared" si="188"/>
        <v>0</v>
      </c>
      <c r="Q1477">
        <f t="shared" si="189"/>
        <v>0</v>
      </c>
    </row>
    <row r="1478" spans="1:17" x14ac:dyDescent="0.45">
      <c r="A1478">
        <v>7.3549999999998699</v>
      </c>
      <c r="B1478">
        <f t="shared" si="185"/>
        <v>2.999999999999993E-2</v>
      </c>
      <c r="C1478">
        <f t="shared" si="186"/>
        <v>0.13000000000000006</v>
      </c>
      <c r="D1478">
        <f t="shared" si="187"/>
        <v>8.0000000000000016E-2</v>
      </c>
      <c r="E1478">
        <f t="shared" si="184"/>
        <v>7.999999999999996E-2</v>
      </c>
      <c r="P1478">
        <f t="shared" si="188"/>
        <v>0</v>
      </c>
      <c r="Q1478">
        <f t="shared" si="189"/>
        <v>0</v>
      </c>
    </row>
    <row r="1479" spans="1:17" x14ac:dyDescent="0.45">
      <c r="A1479">
        <v>7.3599999999998698</v>
      </c>
      <c r="B1479">
        <f t="shared" si="185"/>
        <v>2.999999999999993E-2</v>
      </c>
      <c r="C1479">
        <f t="shared" si="186"/>
        <v>0.13000000000000006</v>
      </c>
      <c r="D1479">
        <f t="shared" si="187"/>
        <v>8.0000000000000016E-2</v>
      </c>
      <c r="E1479">
        <f t="shared" ref="E1479:E1495" si="190">P0-SIGN(DeltaThetaDeg)*EXP(-Xi*Wn*A1479)*(COS(Wd*A1479)-(Xi*Wn-1)/(Wd)*SIN(Wd*A1479))*Ppeak</f>
        <v>7.999999999999996E-2</v>
      </c>
      <c r="P1479">
        <f t="shared" si="188"/>
        <v>0</v>
      </c>
      <c r="Q1479">
        <f t="shared" si="189"/>
        <v>0</v>
      </c>
    </row>
    <row r="1480" spans="1:17" x14ac:dyDescent="0.45">
      <c r="A1480">
        <v>7.3649999999998697</v>
      </c>
      <c r="B1480">
        <f t="shared" si="185"/>
        <v>2.999999999999993E-2</v>
      </c>
      <c r="C1480">
        <f t="shared" si="186"/>
        <v>0.13000000000000006</v>
      </c>
      <c r="D1480">
        <f t="shared" si="187"/>
        <v>8.0000000000000016E-2</v>
      </c>
      <c r="E1480">
        <f t="shared" si="190"/>
        <v>7.999999999999996E-2</v>
      </c>
      <c r="P1480">
        <f t="shared" si="188"/>
        <v>0</v>
      </c>
      <c r="Q1480">
        <f t="shared" si="189"/>
        <v>0</v>
      </c>
    </row>
    <row r="1481" spans="1:17" x14ac:dyDescent="0.45">
      <c r="A1481">
        <v>7.3699999999998704</v>
      </c>
      <c r="B1481">
        <f t="shared" ref="B1481:B1495" si="191">P0-Ppeak*(1+Marge_haute)*EXP(-Sigma*A1479)-Tunnel</f>
        <v>2.9999999999999943E-2</v>
      </c>
      <c r="C1481">
        <f t="shared" ref="C1481:C1495" si="192">P0+Ppeak*(1+Marge_haute)*EXP(-Sigma*A1479)+Tunnel</f>
        <v>0.13000000000000006</v>
      </c>
      <c r="D1481">
        <f t="shared" ref="D1481:D1495" si="193">P0-SIGN(DeltaThetaDeg)*Marge_basse*Ppeak*EXP(-Sigma*A1479)</f>
        <v>8.0000000000000016E-2</v>
      </c>
      <c r="E1481">
        <f t="shared" si="190"/>
        <v>7.999999999999996E-2</v>
      </c>
      <c r="P1481">
        <f t="shared" si="188"/>
        <v>0</v>
      </c>
      <c r="Q1481">
        <f t="shared" si="189"/>
        <v>0</v>
      </c>
    </row>
    <row r="1482" spans="1:17" x14ac:dyDescent="0.45">
      <c r="A1482">
        <v>7.3749999999998703</v>
      </c>
      <c r="B1482">
        <f t="shared" si="191"/>
        <v>2.9999999999999943E-2</v>
      </c>
      <c r="C1482">
        <f t="shared" si="192"/>
        <v>0.13000000000000006</v>
      </c>
      <c r="D1482">
        <f t="shared" si="193"/>
        <v>8.0000000000000016E-2</v>
      </c>
      <c r="E1482">
        <f t="shared" si="190"/>
        <v>7.999999999999996E-2</v>
      </c>
      <c r="P1482">
        <f t="shared" si="188"/>
        <v>0</v>
      </c>
      <c r="Q1482">
        <f t="shared" si="189"/>
        <v>0</v>
      </c>
    </row>
    <row r="1483" spans="1:17" x14ac:dyDescent="0.45">
      <c r="A1483">
        <v>7.3799999999998702</v>
      </c>
      <c r="B1483">
        <f t="shared" si="191"/>
        <v>2.9999999999999943E-2</v>
      </c>
      <c r="C1483">
        <f t="shared" si="192"/>
        <v>0.13000000000000006</v>
      </c>
      <c r="D1483">
        <f t="shared" si="193"/>
        <v>8.0000000000000016E-2</v>
      </c>
      <c r="E1483">
        <f t="shared" si="190"/>
        <v>7.999999999999996E-2</v>
      </c>
      <c r="P1483">
        <f t="shared" ref="P1483:P1495" si="194">IF(EMT_simulation,N1479,N1483)</f>
        <v>0</v>
      </c>
      <c r="Q1483">
        <f t="shared" ref="Q1483:Q1495" si="195">IF(EMT_simulation,O1479,O1483)</f>
        <v>0</v>
      </c>
    </row>
    <row r="1484" spans="1:17" x14ac:dyDescent="0.45">
      <c r="A1484">
        <v>7.3849999999998701</v>
      </c>
      <c r="B1484">
        <f t="shared" si="191"/>
        <v>2.9999999999999943E-2</v>
      </c>
      <c r="C1484">
        <f t="shared" si="192"/>
        <v>0.13000000000000006</v>
      </c>
      <c r="D1484">
        <f t="shared" si="193"/>
        <v>8.0000000000000016E-2</v>
      </c>
      <c r="E1484">
        <f t="shared" si="190"/>
        <v>7.999999999999996E-2</v>
      </c>
      <c r="P1484">
        <f t="shared" si="194"/>
        <v>0</v>
      </c>
      <c r="Q1484">
        <f t="shared" si="195"/>
        <v>0</v>
      </c>
    </row>
    <row r="1485" spans="1:17" x14ac:dyDescent="0.45">
      <c r="A1485">
        <v>7.38999999999987</v>
      </c>
      <c r="B1485">
        <f t="shared" si="191"/>
        <v>2.9999999999999943E-2</v>
      </c>
      <c r="C1485">
        <f t="shared" si="192"/>
        <v>0.13000000000000006</v>
      </c>
      <c r="D1485">
        <f t="shared" si="193"/>
        <v>8.0000000000000016E-2</v>
      </c>
      <c r="E1485">
        <f t="shared" si="190"/>
        <v>7.999999999999996E-2</v>
      </c>
      <c r="P1485">
        <f t="shared" si="194"/>
        <v>0</v>
      </c>
      <c r="Q1485">
        <f t="shared" si="195"/>
        <v>0</v>
      </c>
    </row>
    <row r="1486" spans="1:17" x14ac:dyDescent="0.45">
      <c r="A1486">
        <v>7.3949999999998699</v>
      </c>
      <c r="B1486">
        <f t="shared" si="191"/>
        <v>2.9999999999999943E-2</v>
      </c>
      <c r="C1486">
        <f t="shared" si="192"/>
        <v>0.13000000000000006</v>
      </c>
      <c r="D1486">
        <f t="shared" si="193"/>
        <v>8.0000000000000016E-2</v>
      </c>
      <c r="E1486">
        <f t="shared" si="190"/>
        <v>7.999999999999996E-2</v>
      </c>
      <c r="P1486">
        <f t="shared" si="194"/>
        <v>0</v>
      </c>
      <c r="Q1486">
        <f t="shared" si="195"/>
        <v>0</v>
      </c>
    </row>
    <row r="1487" spans="1:17" x14ac:dyDescent="0.45">
      <c r="A1487">
        <v>7.3999999999998698</v>
      </c>
      <c r="B1487">
        <f t="shared" si="191"/>
        <v>2.9999999999999943E-2</v>
      </c>
      <c r="C1487">
        <f t="shared" si="192"/>
        <v>0.13000000000000006</v>
      </c>
      <c r="D1487">
        <f t="shared" si="193"/>
        <v>8.0000000000000016E-2</v>
      </c>
      <c r="E1487">
        <f t="shared" si="190"/>
        <v>7.999999999999996E-2</v>
      </c>
      <c r="P1487">
        <f t="shared" si="194"/>
        <v>0</v>
      </c>
      <c r="Q1487">
        <f t="shared" si="195"/>
        <v>0</v>
      </c>
    </row>
    <row r="1488" spans="1:17" x14ac:dyDescent="0.45">
      <c r="A1488">
        <v>7.4049999999998697</v>
      </c>
      <c r="B1488">
        <f t="shared" si="191"/>
        <v>2.9999999999999943E-2</v>
      </c>
      <c r="C1488">
        <f t="shared" si="192"/>
        <v>0.13000000000000006</v>
      </c>
      <c r="D1488">
        <f t="shared" si="193"/>
        <v>8.0000000000000016E-2</v>
      </c>
      <c r="E1488">
        <f t="shared" si="190"/>
        <v>7.999999999999996E-2</v>
      </c>
      <c r="P1488">
        <f t="shared" si="194"/>
        <v>0</v>
      </c>
      <c r="Q1488">
        <f t="shared" si="195"/>
        <v>0</v>
      </c>
    </row>
    <row r="1489" spans="1:17" x14ac:dyDescent="0.45">
      <c r="A1489">
        <v>7.4099999999998696</v>
      </c>
      <c r="B1489">
        <f t="shared" si="191"/>
        <v>2.9999999999999943E-2</v>
      </c>
      <c r="C1489">
        <f t="shared" si="192"/>
        <v>0.13000000000000006</v>
      </c>
      <c r="D1489">
        <f t="shared" si="193"/>
        <v>8.0000000000000016E-2</v>
      </c>
      <c r="E1489">
        <f t="shared" si="190"/>
        <v>7.999999999999996E-2</v>
      </c>
      <c r="P1489">
        <f t="shared" si="194"/>
        <v>0</v>
      </c>
      <c r="Q1489">
        <f t="shared" si="195"/>
        <v>0</v>
      </c>
    </row>
    <row r="1490" spans="1:17" x14ac:dyDescent="0.45">
      <c r="A1490">
        <v>7.4149999999998704</v>
      </c>
      <c r="B1490">
        <f t="shared" si="191"/>
        <v>2.9999999999999943E-2</v>
      </c>
      <c r="C1490">
        <f t="shared" si="192"/>
        <v>0.13000000000000006</v>
      </c>
      <c r="D1490">
        <f t="shared" si="193"/>
        <v>8.0000000000000016E-2</v>
      </c>
      <c r="E1490">
        <f t="shared" si="190"/>
        <v>7.999999999999996E-2</v>
      </c>
      <c r="P1490">
        <f t="shared" si="194"/>
        <v>0</v>
      </c>
      <c r="Q1490">
        <f t="shared" si="195"/>
        <v>0</v>
      </c>
    </row>
    <row r="1491" spans="1:17" x14ac:dyDescent="0.45">
      <c r="A1491">
        <v>7.4199999999998703</v>
      </c>
      <c r="B1491">
        <f t="shared" si="191"/>
        <v>2.9999999999999957E-2</v>
      </c>
      <c r="C1491">
        <f t="shared" si="192"/>
        <v>0.13000000000000006</v>
      </c>
      <c r="D1491">
        <f t="shared" si="193"/>
        <v>8.0000000000000016E-2</v>
      </c>
      <c r="E1491">
        <f t="shared" si="190"/>
        <v>7.999999999999996E-2</v>
      </c>
      <c r="P1491">
        <f t="shared" si="194"/>
        <v>0</v>
      </c>
      <c r="Q1491">
        <f t="shared" si="195"/>
        <v>0</v>
      </c>
    </row>
    <row r="1492" spans="1:17" x14ac:dyDescent="0.45">
      <c r="A1492">
        <v>7.4249999999998701</v>
      </c>
      <c r="B1492">
        <f t="shared" si="191"/>
        <v>2.9999999999999957E-2</v>
      </c>
      <c r="C1492">
        <f t="shared" si="192"/>
        <v>0.13000000000000006</v>
      </c>
      <c r="D1492">
        <f t="shared" si="193"/>
        <v>8.0000000000000016E-2</v>
      </c>
      <c r="E1492">
        <f t="shared" si="190"/>
        <v>7.999999999999996E-2</v>
      </c>
      <c r="P1492">
        <f t="shared" si="194"/>
        <v>0</v>
      </c>
      <c r="Q1492">
        <f t="shared" si="195"/>
        <v>0</v>
      </c>
    </row>
    <row r="1493" spans="1:17" x14ac:dyDescent="0.45">
      <c r="A1493">
        <v>7.42999999999987</v>
      </c>
      <c r="B1493">
        <f t="shared" si="191"/>
        <v>2.9999999999999957E-2</v>
      </c>
      <c r="C1493">
        <f t="shared" si="192"/>
        <v>0.13000000000000006</v>
      </c>
      <c r="D1493">
        <f t="shared" si="193"/>
        <v>8.0000000000000016E-2</v>
      </c>
      <c r="E1493">
        <f t="shared" si="190"/>
        <v>7.999999999999996E-2</v>
      </c>
      <c r="P1493">
        <f t="shared" si="194"/>
        <v>0</v>
      </c>
      <c r="Q1493">
        <f t="shared" si="195"/>
        <v>0</v>
      </c>
    </row>
    <row r="1494" spans="1:17" x14ac:dyDescent="0.45">
      <c r="A1494">
        <v>7.4349999999998699</v>
      </c>
      <c r="B1494">
        <f t="shared" si="191"/>
        <v>2.9999999999999957E-2</v>
      </c>
      <c r="C1494">
        <f t="shared" si="192"/>
        <v>0.13000000000000006</v>
      </c>
      <c r="D1494">
        <f t="shared" si="193"/>
        <v>8.0000000000000016E-2</v>
      </c>
      <c r="E1494">
        <f t="shared" si="190"/>
        <v>7.999999999999996E-2</v>
      </c>
      <c r="P1494">
        <f t="shared" si="194"/>
        <v>0</v>
      </c>
      <c r="Q1494">
        <f t="shared" si="195"/>
        <v>0</v>
      </c>
    </row>
    <row r="1495" spans="1:17" x14ac:dyDescent="0.45">
      <c r="A1495">
        <v>7.4399999999998698</v>
      </c>
      <c r="B1495">
        <f t="shared" si="191"/>
        <v>2.9999999999999957E-2</v>
      </c>
      <c r="C1495">
        <f t="shared" si="192"/>
        <v>0.13000000000000006</v>
      </c>
      <c r="D1495">
        <f t="shared" si="193"/>
        <v>8.0000000000000016E-2</v>
      </c>
      <c r="E1495">
        <f t="shared" si="190"/>
        <v>7.9999999999999974E-2</v>
      </c>
      <c r="P1495">
        <f t="shared" si="194"/>
        <v>0</v>
      </c>
      <c r="Q1495">
        <f t="shared" si="19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Export_CSV_2ndorder">
                <anchor moveWithCells="1" sizeWithCells="1">
                  <from>
                    <xdr:col>16</xdr:col>
                    <xdr:colOff>85725</xdr:colOff>
                    <xdr:row>0</xdr:row>
                    <xdr:rowOff>152400</xdr:rowOff>
                  </from>
                  <to>
                    <xdr:col>18</xdr:col>
                    <xdr:colOff>714375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9E00F-9110-4C75-B44B-5B3480ED011A}">
  <sheetPr codeName="Feuil5"/>
  <dimension ref="A1:C265"/>
  <sheetViews>
    <sheetView workbookViewId="0">
      <selection activeCell="B6" sqref="B6"/>
    </sheetView>
  </sheetViews>
  <sheetFormatPr baseColWidth="10" defaultColWidth="11.3984375" defaultRowHeight="14.25" x14ac:dyDescent="0.45"/>
  <cols>
    <col min="2" max="2" width="17" customWidth="1"/>
  </cols>
  <sheetData>
    <row r="1" spans="1:3" x14ac:dyDescent="0.45">
      <c r="A1" t="s">
        <v>11</v>
      </c>
      <c r="B1" t="s">
        <v>26</v>
      </c>
      <c r="C1" t="s">
        <v>27</v>
      </c>
    </row>
    <row r="2" spans="1:3" x14ac:dyDescent="0.45">
      <c r="A2">
        <f>'Second Order V3'!A7</f>
        <v>0</v>
      </c>
      <c r="B2">
        <f>'Second Order V3'!$P7</f>
        <v>0.08</v>
      </c>
      <c r="C2">
        <f>'Second Order V3'!$Q7</f>
        <v>0.72762480938978247</v>
      </c>
    </row>
    <row r="3" spans="1:3" x14ac:dyDescent="0.45">
      <c r="A3">
        <f>'Second Order V3'!A8</f>
        <v>5.0000000000000001E-3</v>
      </c>
      <c r="B3">
        <f>'Second Order V3'!$P8</f>
        <v>0.08</v>
      </c>
      <c r="C3">
        <f>'Second Order V3'!$Q8</f>
        <v>0.72762480938978247</v>
      </c>
    </row>
    <row r="4" spans="1:3" x14ac:dyDescent="0.45">
      <c r="A4">
        <f>'Second Order V3'!A9</f>
        <v>0.01</v>
      </c>
      <c r="B4">
        <f>'Second Order V3'!$P9</f>
        <v>0.08</v>
      </c>
      <c r="C4">
        <f>'Second Order V3'!$Q9</f>
        <v>0.72762480938978247</v>
      </c>
    </row>
    <row r="5" spans="1:3" x14ac:dyDescent="0.45">
      <c r="A5">
        <f>'Second Order V3'!A10</f>
        <v>1.4999999999999999E-2</v>
      </c>
      <c r="B5">
        <f>'Second Order V3'!$P10</f>
        <v>0.08</v>
      </c>
      <c r="C5">
        <f>'Second Order V3'!$Q10</f>
        <v>0.72762480938978247</v>
      </c>
    </row>
    <row r="6" spans="1:3" x14ac:dyDescent="0.45">
      <c r="A6">
        <f>'Second Order V3'!A11</f>
        <v>0.02</v>
      </c>
      <c r="B6">
        <f>'Second Order V3'!$P11</f>
        <v>0.08</v>
      </c>
      <c r="C6">
        <f>'Second Order V3'!$Q11</f>
        <v>0.72762480938978247</v>
      </c>
    </row>
    <row r="7" spans="1:3" x14ac:dyDescent="0.45">
      <c r="A7">
        <f>'Second Order V3'!A12</f>
        <v>2.5000000000000001E-2</v>
      </c>
      <c r="B7">
        <f>'Second Order V3'!$P12</f>
        <v>0.08</v>
      </c>
      <c r="C7">
        <f>'Second Order V3'!$Q12</f>
        <v>0.72762480938978247</v>
      </c>
    </row>
    <row r="8" spans="1:3" x14ac:dyDescent="0.45">
      <c r="A8">
        <f>'Second Order V3'!A13</f>
        <v>0.03</v>
      </c>
      <c r="B8">
        <f>'Second Order V3'!$P13</f>
        <v>0.23936661583727536</v>
      </c>
      <c r="C8">
        <f>'Second Order V3'!$Q13</f>
        <v>0.72762480938978247</v>
      </c>
    </row>
    <row r="9" spans="1:3" x14ac:dyDescent="0.45">
      <c r="A9">
        <f>'Second Order V3'!A14</f>
        <v>3.5000000000000003E-2</v>
      </c>
      <c r="B9">
        <f>'Second Order V3'!$P14</f>
        <v>0.23226697207936658</v>
      </c>
      <c r="C9">
        <f>'Second Order V3'!$Q14</f>
        <v>0.71286940027189782</v>
      </c>
    </row>
    <row r="10" spans="1:3" x14ac:dyDescent="0.45">
      <c r="A10">
        <f>'Second Order V3'!A15</f>
        <v>0.04</v>
      </c>
      <c r="B10">
        <f>'Second Order V3'!$P15</f>
        <v>0.22531258656341824</v>
      </c>
      <c r="C10">
        <f>'Second Order V3'!$Q15</f>
        <v>0.69847830350319173</v>
      </c>
    </row>
    <row r="11" spans="1:3" x14ac:dyDescent="0.45">
      <c r="A11">
        <f>'Second Order V3'!A16</f>
        <v>4.4999999999999998E-2</v>
      </c>
      <c r="B11">
        <f>'Second Order V3'!$P16</f>
        <v>0.21850555489032314</v>
      </c>
      <c r="C11">
        <f>'Second Order V3'!$Q16</f>
        <v>0.68444252417971363</v>
      </c>
    </row>
    <row r="12" spans="1:3" x14ac:dyDescent="0.45">
      <c r="A12">
        <f>'Second Order V3'!A17</f>
        <v>0.05</v>
      </c>
      <c r="B12">
        <f>'Second Order V3'!$P17</f>
        <v>0.21184767594727222</v>
      </c>
      <c r="C12">
        <f>'Second Order V3'!$Q17</f>
        <v>0.67075328948248325</v>
      </c>
    </row>
    <row r="13" spans="1:3" x14ac:dyDescent="0.45">
      <c r="A13">
        <f>'Second Order V3'!A18</f>
        <v>5.5E-2</v>
      </c>
      <c r="B13">
        <f>'Second Order V3'!$P18</f>
        <v>0.20534046400408507</v>
      </c>
      <c r="C13">
        <f>'Second Order V3'!$Q18</f>
        <v>0.65740204319419226</v>
      </c>
    </row>
    <row r="14" spans="1:3" x14ac:dyDescent="0.45">
      <c r="A14">
        <f>'Second Order V3'!A19</f>
        <v>0.06</v>
      </c>
      <c r="B14">
        <f>'Second Order V3'!$P19</f>
        <v>0.19898516059529617</v>
      </c>
      <c r="C14">
        <f>'Second Order V3'!$Q19</f>
        <v>0.64438044035129061</v>
      </c>
    </row>
    <row r="15" spans="1:3" x14ac:dyDescent="0.45">
      <c r="A15">
        <f>'Second Order V3'!A20</f>
        <v>6.5000000000000002E-2</v>
      </c>
      <c r="B15">
        <f>'Second Order V3'!$P20</f>
        <v>0.19278274618276145</v>
      </c>
      <c r="C15">
        <f>'Second Order V3'!$Q20</f>
        <v>0.63168034202811219</v>
      </c>
    </row>
    <row r="16" spans="1:3" x14ac:dyDescent="0.45">
      <c r="A16">
        <f>'Second Order V3'!A21</f>
        <v>7.0000000000000007E-2</v>
      </c>
      <c r="B16">
        <f>'Second Order V3'!$P21</f>
        <v>0.18673395159409345</v>
      </c>
      <c r="C16">
        <f>'Second Order V3'!$Q21</f>
        <v>0.61929381024978192</v>
      </c>
    </row>
    <row r="17" spans="1:3" x14ac:dyDescent="0.45">
      <c r="A17">
        <f>'Second Order V3'!A22</f>
        <v>7.4999999999999997E-2</v>
      </c>
      <c r="B17">
        <f>'Second Order V3'!$P22</f>
        <v>0.18083926923275984</v>
      </c>
      <c r="C17">
        <f>'Second Order V3'!$Q22</f>
        <v>0.60721310303072262</v>
      </c>
    </row>
    <row r="18" spans="1:3" x14ac:dyDescent="0.45">
      <c r="A18">
        <f>'Second Order V3'!A23</f>
        <v>0.08</v>
      </c>
      <c r="B18">
        <f>'Second Order V3'!$P23</f>
        <v>0.17509896405618375</v>
      </c>
      <c r="C18">
        <f>'Second Order V3'!$Q23</f>
        <v>0.59543066953566171</v>
      </c>
    </row>
    <row r="19" spans="1:3" x14ac:dyDescent="0.45">
      <c r="A19">
        <f>'Second Order V3'!A24</f>
        <v>8.5000000000000006E-2</v>
      </c>
      <c r="B19">
        <f>'Second Order V3'!$P24</f>
        <v>0.16951308431866913</v>
      </c>
      <c r="C19">
        <f>'Second Order V3'!$Q24</f>
        <v>0.58393914536011415</v>
      </c>
    </row>
    <row r="20" spans="1:3" x14ac:dyDescent="0.45">
      <c r="A20">
        <f>'Second Order V3'!A25</f>
        <v>0.09</v>
      </c>
      <c r="B20">
        <f>'Second Order V3'!$P25</f>
        <v>0.16408147207643986</v>
      </c>
      <c r="C20">
        <f>'Second Order V3'!$Q25</f>
        <v>0.57273134792738944</v>
      </c>
    </row>
    <row r="21" spans="1:3" x14ac:dyDescent="0.45">
      <c r="A21">
        <f>'Second Order V3'!A26</f>
        <v>9.5000000000000001E-2</v>
      </c>
      <c r="B21">
        <f>'Second Order V3'!$P26</f>
        <v>0.15880377345252789</v>
      </c>
      <c r="C21">
        <f>'Second Order V3'!$Q26</f>
        <v>0.56180027199924742</v>
      </c>
    </row>
    <row r="22" spans="1:3" x14ac:dyDescent="0.45">
      <c r="A22">
        <f>'Second Order V3'!A27</f>
        <v>0.1</v>
      </c>
      <c r="B22">
        <f>'Second Order V3'!$P27</f>
        <v>0.15367944865967237</v>
      </c>
      <c r="C22">
        <f>'Second Order V3'!$Q27</f>
        <v>0.55113908529739608</v>
      </c>
    </row>
    <row r="23" spans="1:3" x14ac:dyDescent="0.45">
      <c r="A23">
        <f>'Second Order V3'!A28</f>
        <v>0.105</v>
      </c>
      <c r="B23">
        <f>'Second Order V3'!$P28</f>
        <v>0.14870778177980165</v>
      </c>
      <c r="C23">
        <f>'Second Order V3'!$Q28</f>
        <v>0.54074112423309584</v>
      </c>
    </row>
    <row r="24" spans="1:3" x14ac:dyDescent="0.45">
      <c r="A24">
        <f>'Second Order V3'!A29</f>
        <v>0.11</v>
      </c>
      <c r="B24">
        <f>'Second Order V3'!$P29</f>
        <v>0.14388789029906074</v>
      </c>
      <c r="C24">
        <f>'Second Order V3'!$Q29</f>
        <v>0.53059988974219918</v>
      </c>
    </row>
    <row r="25" spans="1:3" x14ac:dyDescent="0.45">
      <c r="A25">
        <f>'Second Order V3'!A30</f>
        <v>0.115</v>
      </c>
      <c r="B25">
        <f>'Second Order V3'!$P30</f>
        <v>0.13921873439771937</v>
      </c>
      <c r="C25">
        <f>'Second Order V3'!$Q30</f>
        <v>0.52070904322302403</v>
      </c>
    </row>
    <row r="26" spans="1:3" x14ac:dyDescent="0.45">
      <c r="A26">
        <f>'Second Order V3'!A31</f>
        <v>0.12</v>
      </c>
      <c r="B26">
        <f>'Second Order V3'!$P31</f>
        <v>0.13187385392691076</v>
      </c>
      <c r="C26">
        <f>'Second Order V3'!$Q31</f>
        <v>0.51106240257452162</v>
      </c>
    </row>
    <row r="27" spans="1:3" x14ac:dyDescent="0.45">
      <c r="A27">
        <f>'Second Order V3'!A32</f>
        <v>0.125</v>
      </c>
      <c r="B27">
        <f>'Second Order V3'!$P32</f>
        <v>0.12245260530586372</v>
      </c>
      <c r="C27">
        <f>'Second Order V3'!$Q32</f>
        <v>0.5016539383322618</v>
      </c>
    </row>
    <row r="28" spans="1:3" x14ac:dyDescent="0.45">
      <c r="A28">
        <f>'Second Order V3'!A33</f>
        <v>0.13</v>
      </c>
      <c r="B28">
        <f>'Second Order V3'!$P33</f>
        <v>0.11360293428483867</v>
      </c>
      <c r="C28">
        <f>'Second Order V3'!$Q33</f>
        <v>0.49247776989982156</v>
      </c>
    </row>
    <row r="29" spans="1:3" x14ac:dyDescent="0.45">
      <c r="A29">
        <f>'Second Order V3'!A34</f>
        <v>0.13500000000000001</v>
      </c>
      <c r="B29">
        <f>'Second Order V3'!$P34</f>
        <v>0.1053024169047299</v>
      </c>
      <c r="C29">
        <f>'Second Order V3'!$Q34</f>
        <v>0.48352816187322117</v>
      </c>
    </row>
    <row r="30" spans="1:3" x14ac:dyDescent="0.45">
      <c r="A30">
        <f>'Second Order V3'!A35</f>
        <v>0.14000000000000001</v>
      </c>
      <c r="B30">
        <f>'Second Order V3'!$P35</f>
        <v>9.7529114505474232E-2</v>
      </c>
      <c r="C30">
        <f>'Second Order V3'!$Q35</f>
        <v>0.47479952045610946</v>
      </c>
    </row>
    <row r="31" spans="1:3" x14ac:dyDescent="0.45">
      <c r="A31">
        <f>'Second Order V3'!A36</f>
        <v>0.14499999999999999</v>
      </c>
      <c r="B31">
        <f>'Second Order V3'!$P36</f>
        <v>9.0261582858015346E-2</v>
      </c>
      <c r="C31">
        <f>'Second Order V3'!$Q36</f>
        <v>0.46628638996345945</v>
      </c>
    </row>
    <row r="32" spans="1:3" x14ac:dyDescent="0.45">
      <c r="A32">
        <f>'Second Order V3'!A37</f>
        <v>0.15</v>
      </c>
      <c r="B32">
        <f>'Second Order V3'!$P37</f>
        <v>8.3478879696276584E-2</v>
      </c>
      <c r="C32">
        <f>'Second Order V3'!$Q37</f>
        <v>0.4579834494115872</v>
      </c>
    </row>
    <row r="33" spans="1:3" x14ac:dyDescent="0.45">
      <c r="A33">
        <f>'Second Order V3'!A38</f>
        <v>0.155</v>
      </c>
      <c r="B33">
        <f>'Second Order V3'!$P38</f>
        <v>7.7160570745582385E-2</v>
      </c>
      <c r="C33">
        <f>'Second Order V3'!$Q38</f>
        <v>0.44988550919236425</v>
      </c>
    </row>
    <row r="34" spans="1:3" x14ac:dyDescent="0.45">
      <c r="A34">
        <f>'Second Order V3'!A39</f>
        <v>0.16</v>
      </c>
      <c r="B34">
        <f>'Second Order V3'!$P39</f>
        <v>7.1286734340205188E-2</v>
      </c>
      <c r="C34">
        <f>'Second Order V3'!$Q39</f>
        <v>0.44198750782954316</v>
      </c>
    </row>
    <row r="35" spans="1:3" x14ac:dyDescent="0.45">
      <c r="A35">
        <f>'Second Order V3'!A40</f>
        <v>0.16500000000000001</v>
      </c>
      <c r="B35">
        <f>'Second Order V3'!$P40</f>
        <v>6.5837964719032555E-2</v>
      </c>
      <c r="C35">
        <f>'Second Order V3'!$Q40</f>
        <v>0.4342845088151705</v>
      </c>
    </row>
    <row r="36" spans="1:3" x14ac:dyDescent="0.45">
      <c r="A36">
        <f>'Second Order V3'!A41</f>
        <v>0.17</v>
      </c>
      <c r="B36">
        <f>'Second Order V3'!$P41</f>
        <v>6.0795374084747875E-2</v>
      </c>
      <c r="C36">
        <f>'Second Order V3'!$Q41</f>
        <v>0.42677169752410832</v>
      </c>
    </row>
    <row r="37" spans="1:3" x14ac:dyDescent="0.45">
      <c r="A37">
        <f>'Second Order V3'!A42</f>
        <v>0.17499999999999999</v>
      </c>
      <c r="B37">
        <f>'Second Order V3'!$P42</f>
        <v>5.6140593508400699E-2</v>
      </c>
      <c r="C37">
        <f>'Second Order V3'!$Q42</f>
        <v>0.41944437820473707</v>
      </c>
    </row>
    <row r="38" spans="1:3" x14ac:dyDescent="0.45">
      <c r="A38">
        <f>'Second Order V3'!A43</f>
        <v>0.18</v>
      </c>
      <c r="B38">
        <f>'Second Order V3'!$P43</f>
        <v>5.1855772757809983E-2</v>
      </c>
      <c r="C38">
        <f>'Second Order V3'!$Q43</f>
        <v>0.41229797104395755</v>
      </c>
    </row>
    <row r="39" spans="1:3" x14ac:dyDescent="0.45">
      <c r="A39">
        <f>'Second Order V3'!A44</f>
        <v>0.185</v>
      </c>
      <c r="B39">
        <f>'Second Order V3'!$P44</f>
        <v>4.381817151959988E-2</v>
      </c>
      <c r="C39">
        <f>'Second Order V3'!$Q44</f>
        <v>0.40532800930465901</v>
      </c>
    </row>
    <row r="40" spans="1:3" x14ac:dyDescent="0.45">
      <c r="A40">
        <f>'Second Order V3'!A45</f>
        <v>0.19</v>
      </c>
      <c r="B40">
        <f>'Second Order V3'!$P45</f>
        <v>3.4900215977223856E-2</v>
      </c>
      <c r="C40">
        <f>'Second Order V3'!$Q45</f>
        <v>0.39853013653386293</v>
      </c>
    </row>
    <row r="41" spans="1:3" x14ac:dyDescent="0.45">
      <c r="A41">
        <f>'Second Order V3'!A46</f>
        <v>0.19500000000000001</v>
      </c>
      <c r="B41">
        <f>'Second Order V3'!$P46</f>
        <v>2.6410725875141414E-2</v>
      </c>
      <c r="C41">
        <f>'Second Order V3'!$Q46</f>
        <v>0.39190010383979801</v>
      </c>
    </row>
    <row r="42" spans="1:3" x14ac:dyDescent="0.45">
      <c r="A42">
        <f>'Second Order V3'!A47</f>
        <v>0.2</v>
      </c>
      <c r="B42">
        <f>'Second Order V3'!$P47</f>
        <v>1.8340011005169354E-2</v>
      </c>
      <c r="C42">
        <f>'Second Order V3'!$Q47</f>
        <v>0.38543376723620459</v>
      </c>
    </row>
    <row r="43" spans="1:3" x14ac:dyDescent="0.45">
      <c r="A43">
        <f>'Second Order V3'!A48</f>
        <v>0.20499999999999999</v>
      </c>
      <c r="B43">
        <f>'Second Order V3'!$P48</f>
        <v>1.0678300964413391E-2</v>
      </c>
      <c r="C43">
        <f>'Second Order V3'!$Q48</f>
        <v>0.37912708505220832</v>
      </c>
    </row>
    <row r="44" spans="1:3" x14ac:dyDescent="0.45">
      <c r="A44">
        <f>'Second Order V3'!A49</f>
        <v>0.21</v>
      </c>
      <c r="B44">
        <f>'Second Order V3'!$P49</f>
        <v>3.415761963538988E-3</v>
      </c>
      <c r="C44">
        <f>'Second Order V3'!$Q49</f>
        <v>0.37297611540614428</v>
      </c>
    </row>
    <row r="45" spans="1:3" x14ac:dyDescent="0.45">
      <c r="A45">
        <f>'Second Order V3'!A50</f>
        <v>0.215</v>
      </c>
      <c r="B45">
        <f>'Second Order V3'!$P50</f>
        <v>-3.4574871010357167E-3</v>
      </c>
      <c r="C45">
        <f>'Second Order V3'!$Q50</f>
        <v>0.36697701374175251</v>
      </c>
    </row>
    <row r="46" spans="1:3" x14ac:dyDescent="0.45">
      <c r="A46">
        <f>'Second Order V3'!A51</f>
        <v>0.22</v>
      </c>
      <c r="B46">
        <f>'Second Order V3'!$P51</f>
        <v>-9.9513592963408476E-3</v>
      </c>
      <c r="C46">
        <f>'Second Order V3'!$Q51</f>
        <v>0.36112603042520569</v>
      </c>
    </row>
    <row r="47" spans="1:3" x14ac:dyDescent="0.45">
      <c r="A47">
        <f>'Second Order V3'!A52</f>
        <v>0.22500000000000001</v>
      </c>
      <c r="B47">
        <f>'Second Order V3'!$P52</f>
        <v>-1.6075785008530928E-2</v>
      </c>
      <c r="C47">
        <f>'Second Order V3'!$Q52</f>
        <v>0.35541950840146508</v>
      </c>
    </row>
    <row r="48" spans="1:3" x14ac:dyDescent="0.45">
      <c r="A48">
        <f>'Second Order V3'!A53</f>
        <v>0.23</v>
      </c>
      <c r="B48">
        <f>'Second Order V3'!$P53</f>
        <v>-2.1840697989911569E-2</v>
      </c>
      <c r="C48">
        <f>'Second Order V3'!$Q53</f>
        <v>0.34985388090850289</v>
      </c>
    </row>
    <row r="49" spans="1:3" x14ac:dyDescent="0.45">
      <c r="A49">
        <f>'Second Order V3'!A54</f>
        <v>0.23499999999999999</v>
      </c>
      <c r="B49">
        <f>'Second Order V3'!$P54</f>
        <v>-2.7256022082017169E-2</v>
      </c>
      <c r="C49">
        <f>'Second Order V3'!$Q54</f>
        <v>0.34442566924795948</v>
      </c>
    </row>
    <row r="50" spans="1:3" x14ac:dyDescent="0.45">
      <c r="A50">
        <f>'Second Order V3'!A55</f>
        <v>0.24</v>
      </c>
      <c r="B50">
        <f>'Second Order V3'!$P55</f>
        <v>-3.2331658599294266E-2</v>
      </c>
      <c r="C50">
        <f>'Second Order V3'!$Q55</f>
        <v>0.33913148061084369</v>
      </c>
    </row>
    <row r="51" spans="1:3" x14ac:dyDescent="0.45">
      <c r="A51">
        <f>'Second Order V3'!A56</f>
        <v>0.245</v>
      </c>
      <c r="B51">
        <f>'Second Order V3'!$P56</f>
        <v>-3.7077474357826032E-2</v>
      </c>
      <c r="C51">
        <f>'Second Order V3'!$Q56</f>
        <v>0.33396800595691695</v>
      </c>
    </row>
    <row r="52" spans="1:3" x14ac:dyDescent="0.45">
      <c r="A52">
        <f>'Second Order V3'!A57</f>
        <v>0.25</v>
      </c>
      <c r="B52">
        <f>'Second Order V3'!$P57</f>
        <v>-4.1503290333441384E-2</v>
      </c>
      <c r="C52">
        <f>'Second Order V3'!$Q57</f>
        <v>0.32893201794643512</v>
      </c>
    </row>
    <row r="53" spans="1:3" x14ac:dyDescent="0.45">
      <c r="A53">
        <f>'Second Order V3'!A58</f>
        <v>0.255</v>
      </c>
      <c r="B53">
        <f>'Second Order V3'!$P58</f>
        <v>-4.5618870933484629E-2</v>
      </c>
      <c r="C53">
        <f>'Second Order V3'!$Q58</f>
        <v>0.32402036892295633</v>
      </c>
    </row>
    <row r="54" spans="1:3" x14ac:dyDescent="0.45">
      <c r="A54">
        <f>'Second Order V3'!A59</f>
        <v>0.26</v>
      </c>
      <c r="B54">
        <f>'Second Order V3'!$P59</f>
        <v>-4.9433913866478801E-2</v>
      </c>
      <c r="C54">
        <f>'Second Order V3'!$Q59</f>
        <v>0.31922998894595317</v>
      </c>
    </row>
    <row r="55" spans="1:3" x14ac:dyDescent="0.45">
      <c r="A55">
        <f>'Second Order V3'!A60</f>
        <v>0.26500000000000001</v>
      </c>
      <c r="B55">
        <f>'Second Order V3'!$P60</f>
        <v>-5.2958040593894695E-2</v>
      </c>
      <c r="C55">
        <f>'Second Order V3'!$Q60</f>
        <v>0.31455788387200001</v>
      </c>
    </row>
    <row r="56" spans="1:3" x14ac:dyDescent="0.45">
      <c r="A56">
        <f>'Second Order V3'!A61</f>
        <v>0.27</v>
      </c>
      <c r="B56">
        <f>'Second Order V3'!$P61</f>
        <v>-5.6200787348240938E-2</v>
      </c>
      <c r="C56">
        <f>'Second Order V3'!$Q61</f>
        <v>0.31000113348333552</v>
      </c>
    </row>
    <row r="57" spans="1:3" x14ac:dyDescent="0.45">
      <c r="A57">
        <f>'Second Order V3'!A62</f>
        <v>0.27500000000000002</v>
      </c>
      <c r="B57">
        <f>'Second Order V3'!$P62</f>
        <v>-5.9171596701710197E-2</v>
      </c>
      <c r="C57">
        <f>'Second Order V3'!$Q62</f>
        <v>0.30555688966263211</v>
      </c>
    </row>
    <row r="58" spans="1:3" x14ac:dyDescent="0.45">
      <c r="A58">
        <f>'Second Order V3'!A63</f>
        <v>0.28000000000000003</v>
      </c>
      <c r="B58">
        <f>'Second Order V3'!$P63</f>
        <v>-6.1879809669661334E-2</v>
      </c>
      <c r="C58">
        <f>'Second Order V3'!$Q63</f>
        <v>0.30122237461282941</v>
      </c>
    </row>
    <row r="59" spans="1:3" x14ac:dyDescent="0.45">
      <c r="A59">
        <f>'Second Order V3'!A64</f>
        <v>0.28499999999999998</v>
      </c>
      <c r="B59">
        <f>'Second Order V3'!$P64</f>
        <v>-6.4334658333276326E-2</v>
      </c>
      <c r="C59">
        <f>'Second Order V3'!$Q64</f>
        <v>0.29699487912092093</v>
      </c>
    </row>
    <row r="60" spans="1:3" x14ac:dyDescent="0.45">
      <c r="A60">
        <f>'Second Order V3'!A65</f>
        <v>0.28999999999999998</v>
      </c>
      <c r="B60">
        <f>'Second Order V3'!$P65</f>
        <v>-6.6545258965809678E-2</v>
      </c>
      <c r="C60">
        <f>'Second Order V3'!$Q65</f>
        <v>0.29287176086460742</v>
      </c>
    </row>
    <row r="61" spans="1:3" x14ac:dyDescent="0.45">
      <c r="A61">
        <f>'Second Order V3'!A66</f>
        <v>0.29499999999999998</v>
      </c>
      <c r="B61">
        <f>'Second Order V3'!$P66</f>
        <v>-6.8520605646943039E-2</v>
      </c>
      <c r="C61">
        <f>'Second Order V3'!$Q66</f>
        <v>0.28885044276075988</v>
      </c>
    </row>
    <row r="62" spans="1:3" x14ac:dyDescent="0.45">
      <c r="A62">
        <f>'Second Order V3'!A67</f>
        <v>0.3</v>
      </c>
      <c r="B62">
        <f>'Second Order V3'!$P67</f>
        <v>-7.0269564349870167E-2</v>
      </c>
      <c r="C62">
        <f>'Second Order V3'!$Q67</f>
        <v>0.28492841135465841</v>
      </c>
    </row>
    <row r="63" spans="1:3" x14ac:dyDescent="0.45">
      <c r="A63">
        <f>'Second Order V3'!A68</f>
        <v>0.30499999999999999</v>
      </c>
      <c r="B63">
        <f>'Second Order V3'!$P68</f>
        <v>-7.1800867485860703E-2</v>
      </c>
      <c r="C63">
        <f>'Second Order V3'!$Q68</f>
        <v>0.28110321524900123</v>
      </c>
    </row>
    <row r="64" spans="1:3" x14ac:dyDescent="0.45">
      <c r="A64">
        <f>'Second Order V3'!A69</f>
        <v>0.31</v>
      </c>
      <c r="B64">
        <f>'Second Order V3'!$P69</f>
        <v>-7.3123108891193236E-2</v>
      </c>
      <c r="C64">
        <f>'Second Order V3'!$Q69</f>
        <v>0.27737246357170159</v>
      </c>
    </row>
    <row r="65" spans="1:3" x14ac:dyDescent="0.45">
      <c r="A65">
        <f>'Second Order V3'!A70</f>
        <v>0.315</v>
      </c>
      <c r="B65">
        <f>'Second Order V3'!$P70</f>
        <v>-7.4244739241500629E-2</v>
      </c>
      <c r="C65">
        <f>'Second Order V3'!$Q70</f>
        <v>0.27373382448151501</v>
      </c>
    </row>
    <row r="66" spans="1:3" x14ac:dyDescent="0.45">
      <c r="A66">
        <f>'Second Order V3'!A71</f>
        <v>0.32</v>
      </c>
      <c r="B66">
        <f>'Second Order V3'!$P71</f>
        <v>-7.5174061878734766E-2</v>
      </c>
      <c r="C66">
        <f>'Second Order V3'!$Q71</f>
        <v>0.27018502371056219</v>
      </c>
    </row>
    <row r="67" spans="1:3" x14ac:dyDescent="0.45">
      <c r="A67">
        <f>'Second Order V3'!A72</f>
        <v>0.32500000000000001</v>
      </c>
      <c r="B67">
        <f>'Second Order V3'!$P72</f>
        <v>-7.5919229036136529E-2</v>
      </c>
      <c r="C67">
        <f>'Second Order V3'!$Q72</f>
        <v>0.26672384314283815</v>
      </c>
    </row>
    <row r="68" spans="1:3" x14ac:dyDescent="0.45">
      <c r="A68">
        <f>'Second Order V3'!A73</f>
        <v>0.33</v>
      </c>
      <c r="B68">
        <f>'Second Order V3'!$P73</f>
        <v>-7.6488238446782528E-2</v>
      </c>
      <c r="C68">
        <f>'Second Order V3'!$Q73</f>
        <v>0.263348119427817</v>
      </c>
    </row>
    <row r="69" spans="1:3" x14ac:dyDescent="0.45">
      <c r="A69">
        <f>'Second Order V3'!A74</f>
        <v>0.33500000000000002</v>
      </c>
      <c r="B69">
        <f>'Second Order V3'!$P74</f>
        <v>-7.6888930321478283E-2</v>
      </c>
      <c r="C69">
        <f>'Second Order V3'!$Q74</f>
        <v>0.26005574262828779</v>
      </c>
    </row>
    <row r="70" spans="1:3" x14ac:dyDescent="0.45">
      <c r="A70">
        <f>'Second Order V3'!A75</f>
        <v>0.34</v>
      </c>
      <c r="B70">
        <f>'Second Order V3'!$P75</f>
        <v>-7.7128984681973711E-2</v>
      </c>
      <c r="C70">
        <f>'Second Order V3'!$Q75</f>
        <v>0.25684465490157482</v>
      </c>
    </row>
    <row r="71" spans="1:3" x14ac:dyDescent="0.45">
      <c r="A71">
        <f>'Second Order V3'!A76</f>
        <v>0.34499999999999997</v>
      </c>
      <c r="B71">
        <f>'Second Order V3'!$P76</f>
        <v>-7.7215919035692415E-2</v>
      </c>
      <c r="C71">
        <f>'Second Order V3'!$Q76</f>
        <v>0.25371284921331921</v>
      </c>
    </row>
    <row r="72" spans="1:3" x14ac:dyDescent="0.45">
      <c r="A72">
        <f>'Second Order V3'!A77</f>
        <v>0.35</v>
      </c>
      <c r="B72">
        <f>'Second Order V3'!$P77</f>
        <v>-7.7157086378387432E-2</v>
      </c>
      <c r="C72">
        <f>'Second Order V3'!$Q77</f>
        <v>0.25065836808301672</v>
      </c>
    </row>
    <row r="73" spans="1:3" x14ac:dyDescent="0.45">
      <c r="A73">
        <f>'Second Order V3'!A78</f>
        <v>0.35499999999999998</v>
      </c>
      <c r="B73">
        <f>'Second Order V3'!$P78</f>
        <v>-7.6959673511367857E-2</v>
      </c>
      <c r="C73">
        <f>'Second Order V3'!$Q78</f>
        <v>0.24767930236052921</v>
      </c>
    </row>
    <row r="74" spans="1:3" x14ac:dyDescent="0.45">
      <c r="A74">
        <f>'Second Order V3'!A79</f>
        <v>0.36</v>
      </c>
      <c r="B74">
        <f>'Second Order V3'!$P79</f>
        <v>-7.6630699660174773E-2</v>
      </c>
      <c r="C74">
        <f>'Second Order V3'!$Q79</f>
        <v>0.24477379003280331</v>
      </c>
    </row>
    <row r="75" spans="1:3" x14ac:dyDescent="0.45">
      <c r="A75">
        <f>'Second Order V3'!A80</f>
        <v>0.36499999999999999</v>
      </c>
      <c r="B75">
        <f>'Second Order V3'!$P80</f>
        <v>-7.6177015381829041E-2</v>
      </c>
      <c r="C75">
        <f>'Second Order V3'!$Q80</f>
        <v>0.24194001506005175</v>
      </c>
    </row>
    <row r="76" spans="1:3" x14ac:dyDescent="0.45">
      <c r="A76">
        <f>'Second Order V3'!A81</f>
        <v>0.37</v>
      </c>
      <c r="B76">
        <f>'Second Order V3'!$P81</f>
        <v>-7.5605301748018744E-2</v>
      </c>
      <c r="C76">
        <f>'Second Order V3'!$Q81</f>
        <v>0.23917620624066926</v>
      </c>
    </row>
    <row r="77" spans="1:3" x14ac:dyDescent="0.45">
      <c r="A77">
        <f>'Second Order V3'!A82</f>
        <v>0.375</v>
      </c>
      <c r="B77">
        <f>'Second Order V3'!$P82</f>
        <v>-7.4922069791847179E-2</v>
      </c>
      <c r="C77">
        <f>'Second Order V3'!$Q82</f>
        <v>0.23648063610417425</v>
      </c>
    </row>
    <row r="78" spans="1:3" x14ac:dyDescent="0.45">
      <c r="A78">
        <f>'Second Order V3'!A83</f>
        <v>0.38</v>
      </c>
      <c r="B78">
        <f>'Second Order V3'!$P83</f>
        <v>-7.4133660206017749E-2</v>
      </c>
      <c r="C78">
        <f>'Second Order V3'!$Q83</f>
        <v>0.23385161983148312</v>
      </c>
    </row>
    <row r="79" spans="1:3" x14ac:dyDescent="0.45">
      <c r="A79">
        <f>'Second Order V3'!A84</f>
        <v>0.38500000000000001</v>
      </c>
      <c r="B79">
        <f>'Second Order V3'!$P84</f>
        <v>-7.3246243280591108E-2</v>
      </c>
      <c r="C79">
        <f>'Second Order V3'!$Q84</f>
        <v>0.23128751420184362</v>
      </c>
    </row>
    <row r="80" spans="1:3" x14ac:dyDescent="0.45">
      <c r="A80">
        <f>'Second Order V3'!A85</f>
        <v>0.39</v>
      </c>
      <c r="B80">
        <f>'Second Order V3'!$P85</f>
        <v>-7.2265819068713197E-2</v>
      </c>
      <c r="C80">
        <f>'Second Order V3'!$Q85</f>
        <v>0.2287867165657686</v>
      </c>
    </row>
    <row r="81" spans="1:3" x14ac:dyDescent="0.45">
      <c r="A81">
        <f>'Second Order V3'!A86</f>
        <v>0.39500000000000002</v>
      </c>
      <c r="B81">
        <f>'Second Order V3'!$P86</f>
        <v>-7.1198217768976224E-2</v>
      </c>
      <c r="C81">
        <f>'Second Order V3'!$Q86</f>
        <v>0.22634766384332761</v>
      </c>
    </row>
    <row r="82" spans="1:3" x14ac:dyDescent="0.45">
      <c r="A82">
        <f>'Second Order V3'!A87</f>
        <v>0.4</v>
      </c>
      <c r="B82">
        <f>'Second Order V3'!$P87</f>
        <v>-7.0049100313343562E-2</v>
      </c>
      <c r="C82">
        <f>'Second Order V3'!$Q87</f>
        <v>0.22396883154717123</v>
      </c>
    </row>
    <row r="83" spans="1:3" x14ac:dyDescent="0.45">
      <c r="A83">
        <f>'Second Order V3'!A88</f>
        <v>0.40500000000000003</v>
      </c>
      <c r="B83">
        <f>'Second Order V3'!$P88</f>
        <v>-6.8823959149836592E-2</v>
      </c>
      <c r="C83">
        <f>'Second Order V3'!$Q88</f>
        <v>0.22164873282967679</v>
      </c>
    </row>
    <row r="84" spans="1:3" x14ac:dyDescent="0.45">
      <c r="A84">
        <f>'Second Order V3'!A89</f>
        <v>0.41</v>
      </c>
      <c r="B84">
        <f>'Second Order V3'!$P89</f>
        <v>-6.7528119209451301E-2</v>
      </c>
      <c r="C84">
        <f>'Second Order V3'!$Q89</f>
        <v>0.21938591755362025</v>
      </c>
    </row>
    <row r="85" spans="1:3" x14ac:dyDescent="0.45">
      <c r="A85">
        <f>'Second Order V3'!A90</f>
        <v>0.41499999999999998</v>
      </c>
      <c r="B85">
        <f>'Second Order V3'!$P90</f>
        <v>-6.6166739047044038E-2</v>
      </c>
      <c r="C85">
        <f>'Second Order V3'!$Q90</f>
        <v>0.21717897138579312</v>
      </c>
    </row>
    <row r="86" spans="1:3" x14ac:dyDescent="0.45">
      <c r="A86">
        <f>'Second Order V3'!A91</f>
        <v>0.42</v>
      </c>
      <c r="B86">
        <f>'Second Order V3'!$P91</f>
        <v>-6.4744812146194972E-2</v>
      </c>
      <c r="C86">
        <f>'Second Order V3'!$Q91</f>
        <v>0.2150265149129984</v>
      </c>
    </row>
    <row r="87" spans="1:3" x14ac:dyDescent="0.45">
      <c r="A87">
        <f>'Second Order V3'!A92</f>
        <v>0.42499999999999999</v>
      </c>
      <c r="B87">
        <f>'Second Order V3'!$P92</f>
        <v>-6.3267168378330685E-2</v>
      </c>
      <c r="C87">
        <f>'Second Order V3'!$Q92</f>
        <v>0.2129272027798722</v>
      </c>
    </row>
    <row r="88" spans="1:3" x14ac:dyDescent="0.45">
      <c r="A88">
        <f>'Second Order V3'!A93</f>
        <v>0.43</v>
      </c>
      <c r="B88">
        <f>'Second Order V3'!$P93</f>
        <v>-6.173847560665538E-2</v>
      </c>
      <c r="C88">
        <f>'Second Order V3'!$Q93</f>
        <v>0.21087972284799289</v>
      </c>
    </row>
    <row r="89" spans="1:3" x14ac:dyDescent="0.45">
      <c r="A89">
        <f>'Second Order V3'!A94</f>
        <v>0.435</v>
      </c>
      <c r="B89">
        <f>'Second Order V3'!$P94</f>
        <v>-6.0163241425711542E-2</v>
      </c>
      <c r="C89">
        <f>'Second Order V3'!$Q94</f>
        <v>0.20888279537575183</v>
      </c>
    </row>
    <row r="90" spans="1:3" x14ac:dyDescent="0.45">
      <c r="A90">
        <f>'Second Order V3'!A95</f>
        <v>0.44</v>
      </c>
      <c r="B90">
        <f>'Second Order V3'!$P95</f>
        <v>-5.854581502765932E-2</v>
      </c>
      <c r="C90">
        <f>'Second Order V3'!$Q95</f>
        <v>0.20693517221847352</v>
      </c>
    </row>
    <row r="91" spans="1:3" x14ac:dyDescent="0.45">
      <c r="A91">
        <f>'Second Order V3'!A96</f>
        <v>0.44500000000000001</v>
      </c>
      <c r="B91">
        <f>'Second Order V3'!$P96</f>
        <v>-5.6890389186630794E-2</v>
      </c>
      <c r="C91">
        <f>'Second Order V3'!$Q96</f>
        <v>0.20503563604828406</v>
      </c>
    </row>
    <row r="92" spans="1:3" x14ac:dyDescent="0.45">
      <c r="A92">
        <f>'Second Order V3'!A97</f>
        <v>0.45</v>
      </c>
      <c r="B92">
        <f>'Second Order V3'!$P97</f>
        <v>-5.5201002352780554E-2</v>
      </c>
      <c r="C92">
        <f>'Second Order V3'!$Q97</f>
        <v>0.20318299959324188</v>
      </c>
    </row>
    <row r="93" spans="1:3" x14ac:dyDescent="0.45">
      <c r="A93">
        <f>'Second Order V3'!A98</f>
        <v>0.45500000000000002</v>
      </c>
      <c r="B93">
        <f>'Second Order V3'!$P98</f>
        <v>-5.3481540847919715E-2</v>
      </c>
      <c r="C93">
        <f>'Second Order V3'!$Q98</f>
        <v>0.20137610489525426</v>
      </c>
    </row>
    <row r="94" spans="1:3" x14ac:dyDescent="0.45">
      <c r="A94">
        <f>'Second Order V3'!A99</f>
        <v>0.46</v>
      </c>
      <c r="B94">
        <f>'Second Order V3'!$P99</f>
        <v>-5.1735741154879417E-2</v>
      </c>
      <c r="C94">
        <f>'Second Order V3'!$Q99</f>
        <v>0.19961382258631549</v>
      </c>
    </row>
    <row r="95" spans="1:3" x14ac:dyDescent="0.45">
      <c r="A95">
        <f>'Second Order V3'!A100</f>
        <v>0.46500000000000002</v>
      </c>
      <c r="B95">
        <f>'Second Order V3'!$P100</f>
        <v>-4.9967192293011803E-2</v>
      </c>
      <c r="C95">
        <f>'Second Order V3'!$Q100</f>
        <v>0.1978950511826153</v>
      </c>
    </row>
    <row r="96" spans="1:3" x14ac:dyDescent="0.45">
      <c r="A96">
        <f>'Second Order V3'!A101</f>
        <v>0.47</v>
      </c>
      <c r="B96">
        <f>'Second Order V3'!$P101</f>
        <v>-4.8179338272490699E-2</v>
      </c>
      <c r="C96">
        <f>'Second Order V3'!$Q101</f>
        <v>0.19621871639607563</v>
      </c>
    </row>
    <row r="97" spans="1:3" x14ac:dyDescent="0.45">
      <c r="A97">
        <f>'Second Order V3'!A102</f>
        <v>0.47499999999999998</v>
      </c>
      <c r="B97">
        <f>'Second Order V3'!$P102</f>
        <v>-4.6375480620329992E-2</v>
      </c>
      <c r="C97">
        <f>'Second Order V3'!$Q102</f>
        <v>0.19458377046288566</v>
      </c>
    </row>
    <row r="98" spans="1:3" x14ac:dyDescent="0.45">
      <c r="A98">
        <f>'Second Order V3'!A103</f>
        <v>0.48</v>
      </c>
      <c r="B98">
        <f>'Second Order V3'!$P103</f>
        <v>-4.4558780971287057E-2</v>
      </c>
      <c r="C98">
        <f>'Second Order V3'!$Q103</f>
        <v>0.19298919148861504</v>
      </c>
    </row>
    <row r="99" spans="1:3" x14ac:dyDescent="0.45">
      <c r="A99">
        <f>'Second Order V3'!A104</f>
        <v>0.48499999999999999</v>
      </c>
      <c r="B99">
        <f>'Second Order V3'!$P104</f>
        <v>-4.2732263717067398E-2</v>
      </c>
      <c r="C99">
        <f>'Second Order V3'!$Q104</f>
        <v>0.19143398280949697</v>
      </c>
    </row>
    <row r="100" spans="1:3" x14ac:dyDescent="0.45">
      <c r="A100">
        <f>'Second Order V3'!A105</f>
        <v>0.49</v>
      </c>
      <c r="B100">
        <f>'Second Order V3'!$P105</f>
        <v>-4.0898818707488932E-2</v>
      </c>
      <c r="C100">
        <f>'Second Order V3'!$Q105</f>
        <v>0.18991717236948058</v>
      </c>
    </row>
    <row r="101" spans="1:3" x14ac:dyDescent="0.45">
      <c r="A101">
        <f>'Second Order V3'!A106</f>
        <v>0.495</v>
      </c>
      <c r="B101">
        <f>'Second Order V3'!$P106</f>
        <v>-3.9061203997507371E-2</v>
      </c>
      <c r="C101">
        <f>'Second Order V3'!$Q106</f>
        <v>0.18843781211266453</v>
      </c>
    </row>
    <row r="102" spans="1:3" x14ac:dyDescent="0.45">
      <c r="A102">
        <f>'Second Order V3'!A107</f>
        <v>0.5</v>
      </c>
      <c r="B102">
        <f>'Second Order V3'!$P107</f>
        <v>-3.7222048634239696E-2</v>
      </c>
      <c r="C102">
        <f>'Second Order V3'!$Q107</f>
        <v>0.18699497739073112</v>
      </c>
    </row>
    <row r="103" spans="1:3" x14ac:dyDescent="0.45">
      <c r="A103">
        <f>'Second Order V3'!A108</f>
        <v>0.505</v>
      </c>
      <c r="B103">
        <f>'Second Order V3'!$P108</f>
        <v>-3.5383855478355222E-2</v>
      </c>
      <c r="C103">
        <f>'Second Order V3'!$Q108</f>
        <v>0.18558776638501073</v>
      </c>
    </row>
    <row r="104" spans="1:3" x14ac:dyDescent="0.45">
      <c r="A104">
        <f>'Second Order V3'!A109</f>
        <v>0.51</v>
      </c>
      <c r="B104">
        <f>'Second Order V3'!$P109</f>
        <v>-3.3549004054434881E-2</v>
      </c>
      <c r="C104">
        <f>'Second Order V3'!$Q109</f>
        <v>0.18421529954281635</v>
      </c>
    </row>
    <row r="105" spans="1:3" x14ac:dyDescent="0.45">
      <c r="A105">
        <f>'Second Order V3'!A110</f>
        <v>0.51500000000000001</v>
      </c>
      <c r="B105">
        <f>'Second Order V3'!$P110</f>
        <v>-3.1719753425122975E-2</v>
      </c>
      <c r="C105">
        <f>'Second Order V3'!$Q110</f>
        <v>0.18287671902769392</v>
      </c>
    </row>
    <row r="106" spans="1:3" x14ac:dyDescent="0.45">
      <c r="A106">
        <f>'Second Order V3'!A111</f>
        <v>0.52</v>
      </c>
      <c r="B106">
        <f>'Second Order V3'!$P111</f>
        <v>-2.989824508411678E-2</v>
      </c>
      <c r="C106">
        <f>'Second Order V3'!$Q111</f>
        <v>0.18157118818324702</v>
      </c>
    </row>
    <row r="107" spans="1:3" x14ac:dyDescent="0.45">
      <c r="A107">
        <f>'Second Order V3'!A112</f>
        <v>0.52500000000000002</v>
      </c>
      <c r="B107">
        <f>'Second Order V3'!$P112</f>
        <v>-2.8086505863257061E-2</v>
      </c>
      <c r="C107">
        <f>'Second Order V3'!$Q112</f>
        <v>0.18029789101019922</v>
      </c>
    </row>
    <row r="108" spans="1:3" x14ac:dyDescent="0.45">
      <c r="A108">
        <f>'Second Order V3'!A113</f>
        <v>0.53</v>
      </c>
      <c r="B108">
        <f>'Second Order V3'!$P113</f>
        <v>-2.6286450849193926E-2</v>
      </c>
      <c r="C108">
        <f>'Second Order V3'!$Q113</f>
        <v>0.17905603165636808</v>
      </c>
    </row>
    <row r="109" spans="1:3" x14ac:dyDescent="0.45">
      <c r="A109">
        <f>'Second Order V3'!A114</f>
        <v>0.53500000000000003</v>
      </c>
      <c r="B109">
        <f>'Second Order V3'!$P114</f>
        <v>-2.4499886305311094E-2</v>
      </c>
      <c r="C109">
        <f>'Second Order V3'!$Q114</f>
        <v>0.17784483391923145</v>
      </c>
    </row>
    <row r="110" spans="1:3" x14ac:dyDescent="0.45">
      <c r="A110">
        <f>'Second Order V3'!A115</f>
        <v>0.54</v>
      </c>
      <c r="B110">
        <f>'Second Order V3'!$P115</f>
        <v>-2.272851259479524E-2</v>
      </c>
      <c r="C110">
        <f>'Second Order V3'!$Q115</f>
        <v>0.17666354076077584</v>
      </c>
    </row>
    <row r="111" spans="1:3" x14ac:dyDescent="0.45">
      <c r="A111">
        <f>'Second Order V3'!A116</f>
        <v>0.54500000000000004</v>
      </c>
      <c r="B111">
        <f>'Second Order V3'!$P116</f>
        <v>-2.0973927100935846E-2</v>
      </c>
      <c r="C111">
        <f>'Second Order V3'!$Q116</f>
        <v>0.17551141383432278</v>
      </c>
    </row>
    <row r="112" spans="1:3" x14ac:dyDescent="0.45">
      <c r="A112">
        <f>'Second Order V3'!A117</f>
        <v>0.55000000000000004</v>
      </c>
      <c r="B112">
        <f>'Second Order V3'!$P117</f>
        <v>-1.9237627140935951E-2</v>
      </c>
      <c r="C112">
        <f>'Second Order V3'!$Q117</f>
        <v>0.17438773302303839</v>
      </c>
    </row>
    <row r="113" spans="1:3" x14ac:dyDescent="0.45">
      <c r="A113">
        <f>'Second Order V3'!A118</f>
        <v>0.55500000000000005</v>
      </c>
      <c r="B113">
        <f>'Second Order V3'!$P118</f>
        <v>-1.7521012869703929E-2</v>
      </c>
      <c r="C113">
        <f>'Second Order V3'!$Q118</f>
        <v>0.17329179598983668</v>
      </c>
    </row>
    <row r="114" spans="1:3" x14ac:dyDescent="0.45">
      <c r="A114">
        <f>'Second Order V3'!A119</f>
        <v>0.56000000000000005</v>
      </c>
      <c r="B114">
        <f>'Second Order V3'!$P119</f>
        <v>-1.5825390170281797E-2</v>
      </c>
      <c r="C114">
        <f>'Second Order V3'!$Q119</f>
        <v>0.17222291773839615</v>
      </c>
    </row>
    <row r="115" spans="1:3" x14ac:dyDescent="0.45">
      <c r="A115">
        <f>'Second Order V3'!A120</f>
        <v>0.56499999999999995</v>
      </c>
      <c r="B115">
        <f>'Second Order V3'!$P120</f>
        <v>-1.4151973527746546E-2</v>
      </c>
      <c r="C115">
        <f>'Second Order V3'!$Q120</f>
        <v>0.17118043018501466</v>
      </c>
    </row>
    <row r="116" spans="1:3" x14ac:dyDescent="0.45">
      <c r="A116">
        <f>'Second Order V3'!A121</f>
        <v>0.56999999999999995</v>
      </c>
      <c r="B116">
        <f>'Second Order V3'!$P121</f>
        <v>-1.2501888883596601E-2</v>
      </c>
      <c r="C116">
        <f>'Second Order V3'!$Q121</f>
        <v>0.17016368174103555</v>
      </c>
    </row>
    <row r="117" spans="1:3" x14ac:dyDescent="0.45">
      <c r="A117">
        <f>'Second Order V3'!A122</f>
        <v>0.57499999999999996</v>
      </c>
      <c r="B117">
        <f>'Second Order V3'!$P122</f>
        <v>-1.0876176467807822E-2</v>
      </c>
      <c r="C117">
        <f>'Second Order V3'!$Q122</f>
        <v>0.16917203690558336</v>
      </c>
    </row>
    <row r="118" spans="1:3" x14ac:dyDescent="0.45">
      <c r="A118">
        <f>'Second Order V3'!A123</f>
        <v>0.57999999999999996</v>
      </c>
      <c r="B118">
        <f>'Second Order V3'!$P123</f>
        <v>-9.2757936059091189E-3</v>
      </c>
      <c r="C118">
        <f>'Second Order V3'!$Q123</f>
        <v>0.16820487586835509</v>
      </c>
    </row>
    <row r="119" spans="1:3" x14ac:dyDescent="0.45">
      <c r="A119">
        <f>'Second Order V3'!A124</f>
        <v>0.58499999999999996</v>
      </c>
      <c r="B119">
        <f>'Second Order V3'!$P124</f>
        <v>-7.70161749859119E-3</v>
      </c>
      <c r="C119">
        <f>'Second Order V3'!$Q124</f>
        <v>0.16726159412221875</v>
      </c>
    </row>
    <row r="120" spans="1:3" x14ac:dyDescent="0.45">
      <c r="A120">
        <f>'Second Order V3'!A125</f>
        <v>0.59</v>
      </c>
      <c r="B120">
        <f>'Second Order V3'!$P125</f>
        <v>-6.1544479715182066E-3</v>
      </c>
      <c r="C120">
        <f>'Second Order V3'!$Q125</f>
        <v>0.16634160208537663</v>
      </c>
    </row>
    <row r="121" spans="1:3" x14ac:dyDescent="0.45">
      <c r="A121">
        <f>'Second Order V3'!A126</f>
        <v>0.59499999999999997</v>
      </c>
      <c r="B121">
        <f>'Second Order V3'!$P126</f>
        <v>-4.6350101931666582E-3</v>
      </c>
      <c r="C121">
        <f>'Second Order V3'!$Q126</f>
        <v>0.16544432473285736</v>
      </c>
    </row>
    <row r="122" spans="1:3" x14ac:dyDescent="0.45">
      <c r="A122">
        <f>'Second Order V3'!A127</f>
        <v>0.6</v>
      </c>
      <c r="B122">
        <f>'Second Order V3'!$P127</f>
        <v>-3.1439573586622138E-3</v>
      </c>
      <c r="C122">
        <f>'Second Order V3'!$Q127</f>
        <v>0.16456920123710678</v>
      </c>
    </row>
    <row r="123" spans="1:3" x14ac:dyDescent="0.45">
      <c r="A123">
        <f>'Second Order V3'!A128</f>
        <v>0.60499999999999998</v>
      </c>
      <c r="B123">
        <f>'Second Order V3'!$P128</f>
        <v>-1.6818733377307674E-3</v>
      </c>
      <c r="C123">
        <f>'Second Order V3'!$Q128</f>
        <v>0.16371568461745234</v>
      </c>
    </row>
    <row r="124" spans="1:3" x14ac:dyDescent="0.45">
      <c r="A124">
        <f>'Second Order V3'!A129</f>
        <v>0.61</v>
      </c>
      <c r="B124">
        <f>'Second Order V3'!$P129</f>
        <v>-2.4927528501828E-4</v>
      </c>
      <c r="C124">
        <f>'Second Order V3'!$Q129</f>
        <v>0.16288324139822241</v>
      </c>
    </row>
    <row r="125" spans="1:3" x14ac:dyDescent="0.45">
      <c r="A125">
        <f>'Second Order V3'!A130</f>
        <v>0.61499999999999999</v>
      </c>
      <c r="B125">
        <f>'Second Order V3'!$P130</f>
        <v>1.1533837888309112E-3</v>
      </c>
      <c r="C125">
        <f>'Second Order V3'!$Q130</f>
        <v>0.16207135127530675</v>
      </c>
    </row>
    <row r="126" spans="1:3" x14ac:dyDescent="0.45">
      <c r="A126">
        <f>'Second Order V3'!A131</f>
        <v>0.62</v>
      </c>
      <c r="B126">
        <f>'Second Order V3'!$P131</f>
        <v>2.525712486817433E-3</v>
      </c>
      <c r="C126">
        <f>'Second Order V3'!$Q131</f>
        <v>0.16127950679094918</v>
      </c>
    </row>
    <row r="127" spans="1:3" x14ac:dyDescent="0.45">
      <c r="A127">
        <f>'Second Order V3'!A132</f>
        <v>0.625</v>
      </c>
      <c r="B127">
        <f>'Second Order V3'!$P132</f>
        <v>3.8673785373057601E-3</v>
      </c>
      <c r="C127">
        <f>'Second Order V3'!$Q132</f>
        <v>0.16050721301657028</v>
      </c>
    </row>
    <row r="128" spans="1:3" x14ac:dyDescent="0.45">
      <c r="A128">
        <f>'Second Order V3'!A133</f>
        <v>0.63</v>
      </c>
      <c r="B128">
        <f>'Second Order V3'!$P133</f>
        <v>5.1781063490516158E-3</v>
      </c>
      <c r="C128">
        <f>'Second Order V3'!$Q133</f>
        <v>0.15975398724342077</v>
      </c>
    </row>
    <row r="129" spans="1:3" x14ac:dyDescent="0.45">
      <c r="A129">
        <f>'Second Order V3'!A134</f>
        <v>0.63500000000000001</v>
      </c>
      <c r="B129">
        <f>'Second Order V3'!$P134</f>
        <v>6.457674610652539E-3</v>
      </c>
      <c r="C129">
        <f>'Second Order V3'!$Q134</f>
        <v>0.15901935868087286</v>
      </c>
    </row>
    <row r="130" spans="1:3" x14ac:dyDescent="0.45">
      <c r="A130">
        <f>'Second Order V3'!A135</f>
        <v>0.64</v>
      </c>
      <c r="B130">
        <f>'Second Order V3'!$P135</f>
        <v>7.7059139354242884E-3</v>
      </c>
      <c r="C130">
        <f>'Second Order V3'!$Q135</f>
        <v>0.15830286816216071</v>
      </c>
    </row>
    <row r="131" spans="1:3" x14ac:dyDescent="0.45">
      <c r="A131">
        <f>'Second Order V3'!A136</f>
        <v>0.64500000000000002</v>
      </c>
      <c r="B131">
        <f>'Second Order V3'!$P136</f>
        <v>8.9227045525963333E-3</v>
      </c>
      <c r="C131">
        <f>'Second Order V3'!$Q136</f>
        <v>0.15760406785738645</v>
      </c>
    </row>
    <row r="132" spans="1:3" x14ac:dyDescent="0.45">
      <c r="A132">
        <f>'Second Order V3'!A137</f>
        <v>0.65</v>
      </c>
      <c r="B132">
        <f>'Second Order V3'!$P137</f>
        <v>1.010797404561499E-2</v>
      </c>
      <c r="C132">
        <f>'Second Order V3'!$Q137</f>
        <v>0.1569225209936117</v>
      </c>
    </row>
    <row r="133" spans="1:3" x14ac:dyDescent="0.45">
      <c r="A133">
        <f>'Second Order V3'!A138</f>
        <v>0.65500000000000003</v>
      </c>
      <c r="B133">
        <f>'Second Order V3'!$P138</f>
        <v>1.1261695138242336E-2</v>
      </c>
      <c r="C133">
        <f>'Second Order V3'!$Q138</f>
        <v>0.15625780158186037</v>
      </c>
    </row>
    <row r="134" spans="1:3" x14ac:dyDescent="0.45">
      <c r="A134">
        <f>'Second Order V3'!A139</f>
        <v>0.66</v>
      </c>
      <c r="B134">
        <f>'Second Order V3'!$P139</f>
        <v>1.2383883529042142E-2</v>
      </c>
      <c r="C134">
        <f>'Second Order V3'!$Q139</f>
        <v>0.15560949415086167</v>
      </c>
    </row>
    <row r="135" spans="1:3" x14ac:dyDescent="0.45">
      <c r="A135">
        <f>'Second Order V3'!A140</f>
        <v>0.66500000000000004</v>
      </c>
      <c r="B135">
        <f>'Second Order V3'!$P140</f>
        <v>1.3474595774751769E-2</v>
      </c>
      <c r="C135">
        <f>'Second Order V3'!$Q140</f>
        <v>0.15497719348736699</v>
      </c>
    </row>
    <row r="136" spans="1:3" x14ac:dyDescent="0.45">
      <c r="A136">
        <f>'Second Order V3'!A141</f>
        <v>0.67</v>
      </c>
      <c r="B136">
        <f>'Second Order V3'!$P141</f>
        <v>1.4533927222949369E-2</v>
      </c>
      <c r="C136">
        <f>'Second Order V3'!$Q141</f>
        <v>0.15436050438287854</v>
      </c>
    </row>
    <row r="137" spans="1:3" x14ac:dyDescent="0.45">
      <c r="A137">
        <f>'Second Order V3'!A142</f>
        <v>0.67500000000000004</v>
      </c>
      <c r="B137">
        <f>'Second Order V3'!$P142</f>
        <v>1.5562009994341666E-2</v>
      </c>
      <c r="C137">
        <f>'Second Order V3'!$Q142</f>
        <v>0.1537590413866311</v>
      </c>
    </row>
    <row r="138" spans="1:3" x14ac:dyDescent="0.45">
      <c r="A138">
        <f>'Second Order V3'!A143</f>
        <v>0.68</v>
      </c>
      <c r="B138">
        <f>'Second Order V3'!$P143</f>
        <v>1.6559011014915179E-2</v>
      </c>
      <c r="C138">
        <f>'Second Order V3'!$Q143</f>
        <v>0.15317242856467267</v>
      </c>
    </row>
    <row r="139" spans="1:3" x14ac:dyDescent="0.45">
      <c r="A139">
        <f>'Second Order V3'!A144</f>
        <v>0.68500000000000005</v>
      </c>
      <c r="B139">
        <f>'Second Order V3'!$P144</f>
        <v>1.7525130098117098E-2</v>
      </c>
      <c r="C139">
        <f>'Second Order V3'!$Q144</f>
        <v>0.15260029926489371</v>
      </c>
    </row>
    <row r="140" spans="1:3" x14ac:dyDescent="0.45">
      <c r="A140">
        <f>'Second Order V3'!A145</f>
        <v>0.69</v>
      </c>
      <c r="B140">
        <f>'Second Order V3'!$P145</f>
        <v>1.8460598077157164E-2</v>
      </c>
      <c r="C140">
        <f>'Second Order V3'!$Q145</f>
        <v>0.1520422958878575</v>
      </c>
    </row>
    <row r="141" spans="1:3" x14ac:dyDescent="0.45">
      <c r="A141">
        <f>'Second Order V3'!A146</f>
        <v>0.69499999999999995</v>
      </c>
      <c r="B141">
        <f>'Second Order V3'!$P146</f>
        <v>1.9365674987451467E-2</v>
      </c>
      <c r="C141">
        <f>'Second Order V3'!$Q146</f>
        <v>0.15149806966328877</v>
      </c>
    </row>
    <row r="142" spans="1:3" x14ac:dyDescent="0.45">
      <c r="A142">
        <f>'Second Order V3'!A147</f>
        <v>0.7</v>
      </c>
      <c r="B142">
        <f>'Second Order V3'!$P147</f>
        <v>2.0240648299162015E-2</v>
      </c>
      <c r="C142">
        <f>'Second Order V3'!$Q147</f>
        <v>0.15096728043208113</v>
      </c>
    </row>
    <row r="143" spans="1:3" x14ac:dyDescent="0.45">
      <c r="A143">
        <f>'Second Order V3'!A148</f>
        <v>0.70499999999999996</v>
      </c>
      <c r="B143">
        <f>'Second Order V3'!$P148</f>
        <v>2.1085831199722072E-2</v>
      </c>
      <c r="C143">
        <f>'Second Order V3'!$Q148</f>
        <v>0.15044959643368644</v>
      </c>
    </row>
    <row r="144" spans="1:3" x14ac:dyDescent="0.45">
      <c r="A144">
        <f>'Second Order V3'!A149</f>
        <v>0.71</v>
      </c>
      <c r="B144">
        <f>'Second Order V3'!$P149</f>
        <v>2.1901560926176206E-2</v>
      </c>
      <c r="C144">
        <f>'Second Order V3'!$Q149</f>
        <v>0.14994469409875361</v>
      </c>
    </row>
    <row r="145" spans="1:3" x14ac:dyDescent="0.45">
      <c r="A145">
        <f>'Second Order V3'!A150</f>
        <v>0.71499999999999997</v>
      </c>
      <c r="B145">
        <f>'Second Order V3'!$P150</f>
        <v>2.2688197147107361E-2</v>
      </c>
      <c r="C145">
        <f>'Second Order V3'!$Q150</f>
        <v>0.14945225784688743</v>
      </c>
    </row>
    <row r="146" spans="1:3" x14ac:dyDescent="0.45">
      <c r="A146">
        <f>'Second Order V3'!A151</f>
        <v>0.72</v>
      </c>
      <c r="B146">
        <f>'Second Order V3'!$P151</f>
        <v>2.3446120393867897E-2</v>
      </c>
      <c r="C146">
        <f>'Second Order V3'!$Q151</f>
        <v>0.1489719798894002</v>
      </c>
    </row>
    <row r="147" spans="1:3" x14ac:dyDescent="0.45">
      <c r="A147">
        <f>'Second Order V3'!A152</f>
        <v>0.72499999999999998</v>
      </c>
      <c r="B147">
        <f>'Second Order V3'!$P152</f>
        <v>2.4175730540781384E-2</v>
      </c>
      <c r="C147">
        <f>'Second Order V3'!$Q152</f>
        <v>0.14850356003693421</v>
      </c>
    </row>
    <row r="148" spans="1:3" x14ac:dyDescent="0.45">
      <c r="A148">
        <f>'Second Order V3'!A153</f>
        <v>0.73</v>
      </c>
      <c r="B148">
        <f>'Second Order V3'!$P153</f>
        <v>2.4877445333932505E-2</v>
      </c>
      <c r="C148">
        <f>'Second Order V3'!$Q153</f>
        <v>0.14804670551183327</v>
      </c>
    </row>
    <row r="149" spans="1:3" x14ac:dyDescent="0.45">
      <c r="A149">
        <f>'Second Order V3'!A154</f>
        <v>0.73499999999999999</v>
      </c>
      <c r="B149">
        <f>'Second Order V3'!$P154</f>
        <v>2.5551698968117834E-2</v>
      </c>
      <c r="C149">
        <f>'Second Order V3'!$Q154</f>
        <v>0.14760113076514736</v>
      </c>
    </row>
    <row r="150" spans="1:3" x14ac:dyDescent="0.45">
      <c r="A150">
        <f>'Second Order V3'!A155</f>
        <v>0.74</v>
      </c>
      <c r="B150">
        <f>'Second Order V3'!$P155</f>
        <v>2.6198940711486748E-2</v>
      </c>
      <c r="C150">
        <f>'Second Order V3'!$Q155</f>
        <v>0.14716655729815503</v>
      </c>
    </row>
    <row r="151" spans="1:3" x14ac:dyDescent="0.45">
      <c r="A151">
        <f>'Second Order V3'!A156</f>
        <v>0.745</v>
      </c>
      <c r="B151">
        <f>'Second Order V3'!$P156</f>
        <v>2.6819633577362334E-2</v>
      </c>
      <c r="C151">
        <f>'Second Order V3'!$Q156</f>
        <v>0.14674271348829293</v>
      </c>
    </row>
    <row r="152" spans="1:3" x14ac:dyDescent="0.45">
      <c r="A152">
        <f>'Second Order V3'!A157</f>
        <v>0.75</v>
      </c>
      <c r="B152">
        <f>'Second Order V3'!$P157</f>
        <v>2.7414253042694486E-2</v>
      </c>
      <c r="C152">
        <f>'Second Order V3'!$Q157</f>
        <v>0.14632933441938256</v>
      </c>
    </row>
    <row r="153" spans="1:3" x14ac:dyDescent="0.45">
      <c r="A153">
        <f>'Second Order V3'!A158</f>
        <v>0.755</v>
      </c>
      <c r="B153">
        <f>'Second Order V3'!$P158</f>
        <v>2.7983285812562472E-2</v>
      </c>
      <c r="C153">
        <f>'Second Order V3'!$Q158</f>
        <v>0.14592616171604922</v>
      </c>
    </row>
    <row r="154" spans="1:3" x14ac:dyDescent="0.45">
      <c r="A154">
        <f>'Second Order V3'!A159</f>
        <v>0.76</v>
      </c>
      <c r="B154">
        <f>'Second Order V3'!$P159</f>
        <v>2.8527228630112075E-2</v>
      </c>
      <c r="C154">
        <f>'Second Order V3'!$Q159</f>
        <v>0.14553294338222894</v>
      </c>
    </row>
    <row r="155" spans="1:3" x14ac:dyDescent="0.45">
      <c r="A155">
        <f>'Second Order V3'!A160</f>
        <v>0.76500000000000001</v>
      </c>
      <c r="B155">
        <f>'Second Order V3'!$P160</f>
        <v>2.9046587131282414E-2</v>
      </c>
      <c r="C155">
        <f>'Second Order V3'!$Q160</f>
        <v>0.14514943364366278</v>
      </c>
    </row>
    <row r="156" spans="1:3" x14ac:dyDescent="0.45">
      <c r="A156">
        <f>'Second Order V3'!A161</f>
        <v>0.77</v>
      </c>
      <c r="B156">
        <f>'Second Order V3'!$P161</f>
        <v>2.9541874743649624E-2</v>
      </c>
      <c r="C156">
        <f>'Second Order V3'!$Q161</f>
        <v>0.14477539279427981</v>
      </c>
    </row>
    <row r="157" spans="1:3" x14ac:dyDescent="0.45">
      <c r="A157">
        <f>'Second Order V3'!A162</f>
        <v>0.77500000000000002</v>
      </c>
      <c r="B157">
        <f>'Second Order V3'!$P162</f>
        <v>3.0013611628689485E-2</v>
      </c>
      <c r="C157">
        <f>'Second Order V3'!$Q162</f>
        <v>0.14441058704637311</v>
      </c>
    </row>
    <row r="158" spans="1:3" x14ac:dyDescent="0.45">
      <c r="A158">
        <f>'Second Order V3'!A163</f>
        <v>0.78</v>
      </c>
      <c r="B158">
        <f>'Second Order V3'!$P163</f>
        <v>3.0462323666737692E-2</v>
      </c>
      <c r="C158">
        <f>'Second Order V3'!$Q163</f>
        <v>0.14405478838447477</v>
      </c>
    </row>
    <row r="159" spans="1:3" x14ac:dyDescent="0.45">
      <c r="A159">
        <f>'Second Order V3'!A164</f>
        <v>0.78500000000000003</v>
      </c>
      <c r="B159">
        <f>'Second Order V3'!$P164</f>
        <v>3.0888541483905088E-2</v>
      </c>
      <c r="C159">
        <f>'Second Order V3'!$Q164</f>
        <v>0.14370777442283894</v>
      </c>
    </row>
    <row r="160" spans="1:3" x14ac:dyDescent="0.45">
      <c r="A160">
        <f>'Second Order V3'!A165</f>
        <v>0.79</v>
      </c>
      <c r="B160">
        <f>'Second Order V3'!$P165</f>
        <v>3.1292799520186321E-2</v>
      </c>
      <c r="C160">
        <f>'Second Order V3'!$Q165</f>
        <v>0.14336932826644327</v>
      </c>
    </row>
    <row r="161" spans="1:3" x14ac:dyDescent="0.45">
      <c r="A161">
        <f>'Second Order V3'!A166</f>
        <v>0.79500000000000004</v>
      </c>
      <c r="B161">
        <f>'Second Order V3'!$P166</f>
        <v>3.1675635137982994E-2</v>
      </c>
      <c r="C161">
        <f>'Second Order V3'!$Q166</f>
        <v>0.14303923837542271</v>
      </c>
    </row>
    <row r="162" spans="1:3" x14ac:dyDescent="0.45">
      <c r="A162">
        <f>'Second Order V3'!A167</f>
        <v>0.8</v>
      </c>
      <c r="B162">
        <f>'Second Order V3'!$P167</f>
        <v>3.2037587770246984E-2</v>
      </c>
      <c r="C162">
        <f>'Second Order V3'!$Q167</f>
        <v>0.14271729843284997</v>
      </c>
    </row>
    <row r="163" spans="1:3" x14ac:dyDescent="0.45">
      <c r="A163">
        <f>'Second Order V3'!A168</f>
        <v>0.80500000000000005</v>
      </c>
      <c r="B163">
        <f>'Second Order V3'!$P168</f>
        <v>3.2379198107436238E-2</v>
      </c>
      <c r="C163">
        <f>'Second Order V3'!$Q168</f>
        <v>0.14240330721578096</v>
      </c>
    </row>
    <row r="164" spans="1:3" x14ac:dyDescent="0.45">
      <c r="A164">
        <f>'Second Order V3'!A169</f>
        <v>0.81</v>
      </c>
      <c r="B164">
        <f>'Second Order V3'!$P169</f>
        <v>3.2701007322463033E-2</v>
      </c>
      <c r="C164">
        <f>'Second Order V3'!$Q169</f>
        <v>0.14209706846948372</v>
      </c>
    </row>
    <row r="165" spans="1:3" x14ac:dyDescent="0.45">
      <c r="A165">
        <f>'Second Order V3'!A170</f>
        <v>0.81499999999999995</v>
      </c>
      <c r="B165">
        <f>'Second Order V3'!$P170</f>
        <v>3.3003556332805384E-2</v>
      </c>
      <c r="C165">
        <f>'Second Order V3'!$Q170</f>
        <v>0.14179839078477285</v>
      </c>
    </row>
    <row r="166" spans="1:3" x14ac:dyDescent="0.45">
      <c r="A166">
        <f>'Second Order V3'!A171</f>
        <v>0.82</v>
      </c>
      <c r="B166">
        <f>'Second Order V3'!$P171</f>
        <v>3.3287385098942676E-2</v>
      </c>
      <c r="C166">
        <f>'Second Order V3'!$Q171</f>
        <v>0.14150708747837271</v>
      </c>
    </row>
    <row r="167" spans="1:3" x14ac:dyDescent="0.45">
      <c r="A167">
        <f>'Second Order V3'!A172</f>
        <v>0.82499999999999996</v>
      </c>
      <c r="B167">
        <f>'Second Order V3'!$P172</f>
        <v>3.3553031958270405E-2</v>
      </c>
      <c r="C167">
        <f>'Second Order V3'!$Q172</f>
        <v>0.14122297647623402</v>
      </c>
    </row>
    <row r="168" spans="1:3" x14ac:dyDescent="0.45">
      <c r="A168">
        <f>'Second Order V3'!A173</f>
        <v>0.83</v>
      </c>
      <c r="B168">
        <f>'Second Order V3'!$P173</f>
        <v>3.3801032993642635E-2</v>
      </c>
      <c r="C168">
        <f>'Second Order V3'!$Q173</f>
        <v>0.14094588019973187</v>
      </c>
    </row>
    <row r="169" spans="1:3" x14ac:dyDescent="0.45">
      <c r="A169">
        <f>'Second Order V3'!A174</f>
        <v>0.83499999999999996</v>
      </c>
      <c r="B169">
        <f>'Second Order V3'!$P174</f>
        <v>3.4031921435687146E-2</v>
      </c>
      <c r="C169">
        <f>'Second Order V3'!$Q174</f>
        <v>0.14067562545467316</v>
      </c>
    </row>
    <row r="170" spans="1:3" x14ac:dyDescent="0.45">
      <c r="A170">
        <f>'Second Order V3'!A175</f>
        <v>0.84000000000000097</v>
      </c>
      <c r="B170">
        <f>'Second Order V3'!$P175</f>
        <v>3.4246227098035029E-2</v>
      </c>
      <c r="C170">
        <f>'Second Order V3'!$Q175</f>
        <v>0.14041204332304469</v>
      </c>
    </row>
    <row r="171" spans="1:3" x14ac:dyDescent="0.45">
      <c r="A171">
        <f>'Second Order V3'!A176</f>
        <v>0.84500000000000097</v>
      </c>
      <c r="B171">
        <f>'Second Order V3'!$P176</f>
        <v>3.4444475844604791E-2</v>
      </c>
      <c r="C171">
        <f>'Second Order V3'!$Q176</f>
        <v>0.14015496905743391</v>
      </c>
    </row>
    <row r="172" spans="1:3" x14ac:dyDescent="0.45">
      <c r="A172">
        <f>'Second Order V3'!A177</f>
        <v>0.85000000000000098</v>
      </c>
      <c r="B172">
        <f>'Second Order V3'!$P177</f>
        <v>3.4627189088081309E-2</v>
      </c>
      <c r="C172">
        <f>'Second Order V3'!$Q177</f>
        <v>0.13990424197805632</v>
      </c>
    </row>
    <row r="173" spans="1:3" x14ac:dyDescent="0.45">
      <c r="A173">
        <f>'Second Order V3'!A178</f>
        <v>0.85500000000000098</v>
      </c>
      <c r="B173">
        <f>'Second Order V3'!$P178</f>
        <v>3.4794883318729694E-2</v>
      </c>
      <c r="C173">
        <f>'Second Order V3'!$Q178</f>
        <v>0.13965970537232542</v>
      </c>
    </row>
    <row r="174" spans="1:3" x14ac:dyDescent="0.45">
      <c r="A174">
        <f>'Second Order V3'!A179</f>
        <v>0.86000000000000099</v>
      </c>
      <c r="B174">
        <f>'Second Order V3'!$P179</f>
        <v>3.4948069662687056E-2</v>
      </c>
      <c r="C174">
        <f>'Second Order V3'!$Q179</f>
        <v>0.13942120639690231</v>
      </c>
    </row>
    <row r="175" spans="1:3" x14ac:dyDescent="0.45">
      <c r="A175">
        <f>'Second Order V3'!A180</f>
        <v>0.86500000000000099</v>
      </c>
      <c r="B175">
        <f>'Second Order V3'!$P180</f>
        <v>3.5087253468877158E-2</v>
      </c>
      <c r="C175">
        <f>'Second Order V3'!$Q180</f>
        <v>0.13918859598216354</v>
      </c>
    </row>
    <row r="176" spans="1:3" x14ac:dyDescent="0.45">
      <c r="A176">
        <f>'Second Order V3'!A181</f>
        <v>0.87000000000000099</v>
      </c>
      <c r="B176">
        <f>'Second Order V3'!$P181</f>
        <v>3.5212933923697926E-2</v>
      </c>
      <c r="C176">
        <f>'Second Order V3'!$Q181</f>
        <v>0.13896172873902779</v>
      </c>
    </row>
    <row r="177" spans="1:3" x14ac:dyDescent="0.45">
      <c r="A177">
        <f>'Second Order V3'!A182</f>
        <v>0.875000000000001</v>
      </c>
      <c r="B177">
        <f>'Second Order V3'!$P182</f>
        <v>3.5325603692635141E-2</v>
      </c>
      <c r="C177">
        <f>'Second Order V3'!$Q182</f>
        <v>0.13874046286808298</v>
      </c>
    </row>
    <row r="178" spans="1:3" x14ac:dyDescent="0.45">
      <c r="A178">
        <f>'Second Order V3'!A183</f>
        <v>0.880000000000001</v>
      </c>
      <c r="B178">
        <f>'Second Order V3'!$P183</f>
        <v>3.5425748587962699E-2</v>
      </c>
      <c r="C178">
        <f>'Second Order V3'!$Q183</f>
        <v>0.13852466007095693</v>
      </c>
    </row>
    <row r="179" spans="1:3" x14ac:dyDescent="0.45">
      <c r="A179">
        <f>'Second Order V3'!A184</f>
        <v>0.88500000000000101</v>
      </c>
      <c r="B179">
        <f>'Second Order V3'!$P184</f>
        <v>3.551384726169575E-2</v>
      </c>
      <c r="C179">
        <f>'Second Order V3'!$Q184</f>
        <v>0.13831418546387642</v>
      </c>
    </row>
    <row r="180" spans="1:3" x14ac:dyDescent="0.45">
      <c r="A180">
        <f>'Second Order V3'!A185</f>
        <v>0.89000000000000101</v>
      </c>
      <c r="B180">
        <f>'Second Order V3'!$P185</f>
        <v>3.5590370922970307E-2</v>
      </c>
      <c r="C180">
        <f>'Second Order V3'!$Q185</f>
        <v>0.13810890749336058</v>
      </c>
    </row>
    <row r="181" spans="1:3" x14ac:dyDescent="0.45">
      <c r="A181">
        <f>'Second Order V3'!A186</f>
        <v>0.89500000000000102</v>
      </c>
      <c r="B181">
        <f>'Second Order V3'!$P186</f>
        <v>3.565578307903125E-2</v>
      </c>
      <c r="C181">
        <f>'Second Order V3'!$Q186</f>
        <v>0.1379086978539954</v>
      </c>
    </row>
    <row r="182" spans="1:3" x14ac:dyDescent="0.45">
      <c r="A182">
        <f>'Second Order V3'!A187</f>
        <v>0.90000000000000102</v>
      </c>
      <c r="B182">
        <f>'Second Order V3'!$P187</f>
        <v>3.5710539299019059E-2</v>
      </c>
      <c r="C182">
        <f>'Second Order V3'!$Q187</f>
        <v>0.13771343140823888</v>
      </c>
    </row>
    <row r="183" spans="1:3" x14ac:dyDescent="0.45">
      <c r="A183">
        <f>'Second Order V3'!A188</f>
        <v>0.90500000000000103</v>
      </c>
      <c r="B183">
        <f>'Second Order V3'!$P188</f>
        <v>3.5755086999755256E-2</v>
      </c>
      <c r="C183">
        <f>'Second Order V3'!$Q188</f>
        <v>0.13752298610820607</v>
      </c>
    </row>
    <row r="184" spans="1:3" x14ac:dyDescent="0.45">
      <c r="A184">
        <f>'Second Order V3'!A189</f>
        <v>0.91000000000000103</v>
      </c>
      <c r="B184">
        <f>'Second Order V3'!$P189</f>
        <v>3.578986525273653E-2</v>
      </c>
      <c r="C184">
        <f>'Second Order V3'!$Q189</f>
        <v>0.13733724291938482</v>
      </c>
    </row>
    <row r="185" spans="1:3" x14ac:dyDescent="0.45">
      <c r="A185">
        <f>'Second Order V3'!A190</f>
        <v>0.91500000000000103</v>
      </c>
      <c r="B185">
        <f>'Second Order V3'!$P190</f>
        <v>3.5815304611557811E-2</v>
      </c>
      <c r="C185">
        <f>'Second Order V3'!$Q190</f>
        <v>0.13715608574623572</v>
      </c>
    </row>
    <row r="186" spans="1:3" x14ac:dyDescent="0.45">
      <c r="A186">
        <f>'Second Order V3'!A191</f>
        <v>0.92000000000000104</v>
      </c>
      <c r="B186">
        <f>'Second Order V3'!$P191</f>
        <v>3.5831826958995783E-2</v>
      </c>
      <c r="C186">
        <f>'Second Order V3'!$Q191</f>
        <v>0.13697940135962836</v>
      </c>
    </row>
    <row r="187" spans="1:3" x14ac:dyDescent="0.45">
      <c r="A187">
        <f>'Second Order V3'!A192</f>
        <v>0.92500000000000104</v>
      </c>
      <c r="B187">
        <f>'Second Order V3'!$P192</f>
        <v>3.5839845372995949E-2</v>
      </c>
      <c r="C187">
        <f>'Second Order V3'!$Q192</f>
        <v>0.13680707932606956</v>
      </c>
    </row>
    <row r="188" spans="1:3" x14ac:dyDescent="0.45">
      <c r="A188">
        <f>'Second Order V3'!A193</f>
        <v>0.93000000000000105</v>
      </c>
      <c r="B188">
        <f>'Second Order V3'!$P193</f>
        <v>3.5839764010818079E-2</v>
      </c>
      <c r="C188">
        <f>'Second Order V3'!$Q193</f>
        <v>0.13663901193867878</v>
      </c>
    </row>
    <row r="189" spans="1:3" x14ac:dyDescent="0.45">
      <c r="A189">
        <f>'Second Order V3'!A194</f>
        <v>0.93500000000000105</v>
      </c>
      <c r="B189">
        <f>'Second Order V3'!$P194</f>
        <v>3.5831978010607543E-2</v>
      </c>
      <c r="C189">
        <f>'Second Order V3'!$Q194</f>
        <v>0.13647509414986786</v>
      </c>
    </row>
    <row r="190" spans="1:3" x14ac:dyDescent="0.45">
      <c r="A190">
        <f>'Second Order V3'!A195</f>
        <v>0.94000000000000095</v>
      </c>
      <c r="B190">
        <f>'Second Order V3'!$P195</f>
        <v>3.5816873409672295E-2</v>
      </c>
      <c r="C190">
        <f>'Second Order V3'!$Q195</f>
        <v>0.13631522350568279</v>
      </c>
    </row>
    <row r="191" spans="1:3" x14ac:dyDescent="0.45">
      <c r="A191">
        <f>'Second Order V3'!A196</f>
        <v>0.94500000000000095</v>
      </c>
      <c r="B191">
        <f>'Second Order V3'!$P196</f>
        <v>3.5794827078758959E-2</v>
      </c>
      <c r="C191">
        <f>'Second Order V3'!$Q196</f>
        <v>0.13615930008176674</v>
      </c>
    </row>
    <row r="192" spans="1:3" x14ac:dyDescent="0.45">
      <c r="A192">
        <f>'Second Order V3'!A197</f>
        <v>0.95000000000000095</v>
      </c>
      <c r="B192">
        <f>'Second Order V3'!$P197</f>
        <v>3.5766206671634382E-2</v>
      </c>
      <c r="C192">
        <f>'Second Order V3'!$Q197</f>
        <v>0.13600722642090401</v>
      </c>
    </row>
    <row r="193" spans="1:3" x14ac:dyDescent="0.45">
      <c r="A193">
        <f>'Second Order V3'!A198</f>
        <v>0.95500000000000096</v>
      </c>
      <c r="B193">
        <f>'Second Order V3'!$P198</f>
        <v>3.5731370589292627E-2</v>
      </c>
      <c r="C193">
        <f>'Second Order V3'!$Q198</f>
        <v>0.13585890747210616</v>
      </c>
    </row>
    <row r="194" spans="1:3" x14ac:dyDescent="0.45">
      <c r="A194">
        <f>'Second Order V3'!A199</f>
        <v>0.96000000000000096</v>
      </c>
      <c r="B194">
        <f>'Second Order V3'!$P199</f>
        <v>3.5690667958121453E-2</v>
      </c>
      <c r="C194">
        <f>'Second Order V3'!$Q199</f>
        <v>0.13571425053120201</v>
      </c>
    </row>
    <row r="195" spans="1:3" x14ac:dyDescent="0.45">
      <c r="A195">
        <f>'Second Order V3'!A200</f>
        <v>0.96500000000000097</v>
      </c>
      <c r="B195">
        <f>'Second Order V3'!$P200</f>
        <v>3.5644438621376409E-2</v>
      </c>
      <c r="C195">
        <f>'Second Order V3'!$Q200</f>
        <v>0.13557316518289447</v>
      </c>
    </row>
    <row r="196" spans="1:3" x14ac:dyDescent="0.45">
      <c r="A196">
        <f>'Second Order V3'!A201</f>
        <v>0.97000000000000097</v>
      </c>
      <c r="B196">
        <f>'Second Order V3'!$P201</f>
        <v>3.5593013143324553E-2</v>
      </c>
      <c r="C196">
        <f>'Second Order V3'!$Q201</f>
        <v>0.13543556324424821</v>
      </c>
    </row>
    <row r="197" spans="1:3" x14ac:dyDescent="0.45">
      <c r="A197">
        <f>'Second Order V3'!A202</f>
        <v>0.97500000000000098</v>
      </c>
      <c r="B197">
        <f>'Second Order V3'!$P202</f>
        <v>3.5536712825434594E-2</v>
      </c>
      <c r="C197">
        <f>'Second Order V3'!$Q202</f>
        <v>0.13530135870957216</v>
      </c>
    </row>
    <row r="198" spans="1:3" x14ac:dyDescent="0.45">
      <c r="A198">
        <f>'Second Order V3'!A203</f>
        <v>0.98000000000000098</v>
      </c>
      <c r="B198">
        <f>'Second Order V3'!$P203</f>
        <v>3.5475849734004458E-2</v>
      </c>
      <c r="C198">
        <f>'Second Order V3'!$Q203</f>
        <v>0.13517046769666347</v>
      </c>
    </row>
    <row r="199" spans="1:3" x14ac:dyDescent="0.45">
      <c r="A199">
        <f>'Second Order V3'!A204</f>
        <v>0.98500000000000099</v>
      </c>
      <c r="B199">
        <f>'Second Order V3'!$P204</f>
        <v>3.5410726738632103E-2</v>
      </c>
      <c r="C199">
        <f>'Second Order V3'!$Q204</f>
        <v>0.13504280839437816</v>
      </c>
    </row>
    <row r="200" spans="1:3" x14ac:dyDescent="0.45">
      <c r="A200">
        <f>'Second Order V3'!A205</f>
        <v>0.99000000000000099</v>
      </c>
      <c r="B200">
        <f>'Second Order V3'!$P205</f>
        <v>3.5341637560949893E-2</v>
      </c>
      <c r="C200">
        <f>'Second Order V3'!$Q205</f>
        <v>0.13491830101149671</v>
      </c>
    </row>
    <row r="201" spans="1:3" x14ac:dyDescent="0.45">
      <c r="A201">
        <f>'Second Order V3'!A206</f>
        <v>0.99500000000000099</v>
      </c>
      <c r="B201">
        <f>'Second Order V3'!$P206</f>
        <v>3.5268866833057674E-2</v>
      </c>
      <c r="C201">
        <f>'Second Order V3'!$Q206</f>
        <v>0.1347968677268517</v>
      </c>
    </row>
    <row r="202" spans="1:3" x14ac:dyDescent="0.45">
      <c r="A202">
        <f>'Second Order V3'!A207</f>
        <v>1</v>
      </c>
      <c r="B202">
        <f>'Second Order V3'!$P207</f>
        <v>3.5192690165104415E-2</v>
      </c>
      <c r="C202">
        <f>'Second Order V3'!$Q207</f>
        <v>0.1346784326406873</v>
      </c>
    </row>
    <row r="203" spans="1:3" x14ac:dyDescent="0.45">
      <c r="A203">
        <f>'Second Order V3'!A208</f>
        <v>1.0049999999999999</v>
      </c>
      <c r="B203">
        <f>'Second Order V3'!$P208</f>
        <v>3.5113374221482987E-2</v>
      </c>
      <c r="C203">
        <f>'Second Order V3'!$Q208</f>
        <v>0.13456292172721918</v>
      </c>
    </row>
    <row r="204" spans="1:3" x14ac:dyDescent="0.45">
      <c r="A204">
        <f>'Second Order V3'!A209</f>
        <v>1.01</v>
      </c>
      <c r="B204">
        <f>'Second Order V3'!$P209</f>
        <v>3.503117680511747E-2</v>
      </c>
      <c r="C204">
        <f>'Second Order V3'!$Q209</f>
        <v>0.1344502627883663</v>
      </c>
    </row>
    <row r="205" spans="1:3" x14ac:dyDescent="0.45">
      <c r="A205">
        <f>'Second Order V3'!A210</f>
        <v>1.0149999999999999</v>
      </c>
      <c r="B205">
        <f>'Second Order V3'!$P210</f>
        <v>3.4946346949336987E-2</v>
      </c>
      <c r="C205">
        <f>'Second Order V3'!$Q210</f>
        <v>0.13434038540862453</v>
      </c>
    </row>
    <row r="206" spans="1:3" x14ac:dyDescent="0.45">
      <c r="A206">
        <f>'Second Order V3'!A211</f>
        <v>1.02</v>
      </c>
      <c r="B206">
        <f>'Second Order V3'!$P211</f>
        <v>3.4859125016845002E-2</v>
      </c>
      <c r="C206">
        <f>'Second Order V3'!$Q211</f>
        <v>0.13423322091105463</v>
      </c>
    </row>
    <row r="207" spans="1:3" x14ac:dyDescent="0.45">
      <c r="A207">
        <f>'Second Order V3'!A212</f>
        <v>1.0249999999999999</v>
      </c>
      <c r="B207">
        <f>'Second Order V3'!$P212</f>
        <v>3.4769742805306952E-2</v>
      </c>
      <c r="C207">
        <f>'Second Order V3'!$Q212</f>
        <v>0.1341287023143572</v>
      </c>
    </row>
    <row r="208" spans="1:3" x14ac:dyDescent="0.45">
      <c r="A208">
        <f>'Second Order V3'!A213</f>
        <v>1.03</v>
      </c>
      <c r="B208">
        <f>'Second Order V3'!$P213</f>
        <v>3.4678423659094654E-2</v>
      </c>
      <c r="C208">
        <f>'Second Order V3'!$Q213</f>
        <v>0.13402676429100691</v>
      </c>
    </row>
    <row r="209" spans="1:3" x14ac:dyDescent="0.45">
      <c r="A209">
        <f>'Second Order V3'!A214</f>
        <v>1.0349999999999999</v>
      </c>
      <c r="B209">
        <f>'Second Order V3'!$P214</f>
        <v>3.4585382586739141E-2</v>
      </c>
      <c r="C209">
        <f>'Second Order V3'!$Q214</f>
        <v>0.13392734312642079</v>
      </c>
    </row>
    <row r="210" spans="1:3" x14ac:dyDescent="0.45">
      <c r="A210">
        <f>'Second Order V3'!A215</f>
        <v>1.04</v>
      </c>
      <c r="B210">
        <f>'Second Order V3'!$P215</f>
        <v>3.4490826383658815E-2</v>
      </c>
      <c r="C210">
        <f>'Second Order V3'!$Q215</f>
        <v>0.13383037667913453</v>
      </c>
    </row>
    <row r="211" spans="1:3" x14ac:dyDescent="0.45">
      <c r="A211">
        <f>'Second Order V3'!A216</f>
        <v>1.0449999999999999</v>
      </c>
      <c r="B211">
        <f>'Second Order V3'!$P216</f>
        <v>3.4394953759743621E-2</v>
      </c>
      <c r="C211">
        <f>'Second Order V3'!$Q216</f>
        <v>0.13373580434196208</v>
      </c>
    </row>
    <row r="212" spans="1:3" x14ac:dyDescent="0.45">
      <c r="A212">
        <f>'Second Order V3'!A217</f>
        <v>1.05</v>
      </c>
      <c r="B212">
        <f>'Second Order V3'!$P217</f>
        <v>3.4297955471389793E-2</v>
      </c>
      <c r="C212">
        <f>'Second Order V3'!$Q217</f>
        <v>0.13364356700411412</v>
      </c>
    </row>
    <row r="213" spans="1:3" x14ac:dyDescent="0.45">
      <c r="A213">
        <f>'Second Order V3'!A218</f>
        <v>1.0549999999999999</v>
      </c>
      <c r="B213">
        <f>'Second Order V3'!$P218</f>
        <v>3.4200014457594116E-2</v>
      </c>
      <c r="C213">
        <f>'Second Order V3'!$Q218</f>
        <v>0.13355360701425184</v>
      </c>
    </row>
    <row r="214" spans="1:3" x14ac:dyDescent="0.45">
      <c r="A214">
        <f>'Second Order V3'!A219</f>
        <v>1.06</v>
      </c>
      <c r="B214">
        <f>'Second Order V3'!$P219</f>
        <v>3.4101305979729754E-2</v>
      </c>
      <c r="C214">
        <f>'Second Order V3'!$Q219</f>
        <v>0.13346586814445324</v>
      </c>
    </row>
    <row r="215" spans="1:3" x14ac:dyDescent="0.45">
      <c r="A215">
        <f>'Second Order V3'!A220</f>
        <v>1.0649999999999999</v>
      </c>
      <c r="B215">
        <f>'Second Order V3'!$P220</f>
        <v>3.4001997764639885E-2</v>
      </c>
      <c r="C215">
        <f>'Second Order V3'!$Q220</f>
        <v>0.13338029555506847</v>
      </c>
    </row>
    <row r="216" spans="1:3" x14ac:dyDescent="0.45">
      <c r="A216">
        <f>'Second Order V3'!A221</f>
        <v>1.07</v>
      </c>
      <c r="B216">
        <f>'Second Order V3'!$P221</f>
        <v>3.3902250150698213E-2</v>
      </c>
      <c r="C216">
        <f>'Second Order V3'!$Q221</f>
        <v>0.1332968357604436</v>
      </c>
    </row>
    <row r="217" spans="1:3" x14ac:dyDescent="0.45">
      <c r="A217">
        <f>'Second Order V3'!A222</f>
        <v>1.075</v>
      </c>
      <c r="B217">
        <f>'Second Order V3'!$P222</f>
        <v>3.3802216236499039E-2</v>
      </c>
      <c r="C217">
        <f>'Second Order V3'!$Q222</f>
        <v>0.13321543659549012</v>
      </c>
    </row>
    <row r="218" spans="1:3" x14ac:dyDescent="0.45">
      <c r="A218">
        <f>'Second Order V3'!A223</f>
        <v>1.08</v>
      </c>
      <c r="B218">
        <f>'Second Order V3'!$P223</f>
        <v>3.3702042031852231E-2</v>
      </c>
      <c r="C218">
        <f>'Second Order V3'!$Q223</f>
        <v>0.13313604718308014</v>
      </c>
    </row>
    <row r="219" spans="1:3" x14ac:dyDescent="0.45">
      <c r="A219">
        <f>'Second Order V3'!A224</f>
        <v>1.085</v>
      </c>
      <c r="B219">
        <f>'Second Order V3'!$P224</f>
        <v>3.3601866610771372E-2</v>
      </c>
      <c r="C219">
        <f>'Second Order V3'!$Q224</f>
        <v>0.1330586179022466</v>
      </c>
    </row>
    <row r="220" spans="1:3" x14ac:dyDescent="0.45">
      <c r="A220">
        <f>'Second Order V3'!A225</f>
        <v>1.0900000000000001</v>
      </c>
      <c r="B220">
        <f>'Second Order V3'!$P225</f>
        <v>3.3501822266156125E-2</v>
      </c>
      <c r="C220">
        <f>'Second Order V3'!$Q225</f>
        <v>0.13298310035716843</v>
      </c>
    </row>
    <row r="221" spans="1:3" x14ac:dyDescent="0.45">
      <c r="A221">
        <f>'Second Order V3'!A226</f>
        <v>1.095</v>
      </c>
      <c r="B221">
        <f>'Second Order V3'!$P226</f>
        <v>3.3402034665881722E-2</v>
      </c>
      <c r="C221">
        <f>'Second Order V3'!$Q226</f>
        <v>0.13290944734692162</v>
      </c>
    </row>
    <row r="222" spans="1:3" x14ac:dyDescent="0.45">
      <c r="A222">
        <f>'Second Order V3'!A227</f>
        <v>1.1000000000000001</v>
      </c>
      <c r="B222">
        <f>'Second Order V3'!$P227</f>
        <v>3.3302623010021071E-2</v>
      </c>
      <c r="C222">
        <f>'Second Order V3'!$Q227</f>
        <v>0.1328376128359772</v>
      </c>
    </row>
    <row r="223" spans="1:3" x14ac:dyDescent="0.45">
      <c r="A223">
        <f>'Second Order V3'!A228</f>
        <v>1.105</v>
      </c>
      <c r="B223">
        <f>'Second Order V3'!$P228</f>
        <v>3.3203700188936744E-2</v>
      </c>
      <c r="C223">
        <f>'Second Order V3'!$Q228</f>
        <v>0.13276755192542739</v>
      </c>
    </row>
    <row r="224" spans="1:3" x14ac:dyDescent="0.45">
      <c r="A224">
        <f>'Second Order V3'!A229</f>
        <v>1.1100000000000001</v>
      </c>
      <c r="B224">
        <f>'Second Order V3'!$P229</f>
        <v>3.3105372941991618E-2</v>
      </c>
      <c r="C224">
        <f>'Second Order V3'!$Q229</f>
        <v>0.13269922082492241</v>
      </c>
    </row>
    <row r="225" spans="1:3" x14ac:dyDescent="0.45">
      <c r="A225">
        <f>'Second Order V3'!A230</f>
        <v>1.115</v>
      </c>
      <c r="B225">
        <f>'Second Order V3'!$P230</f>
        <v>3.3007742016638544E-2</v>
      </c>
      <c r="C225">
        <f>'Second Order V3'!$Q230</f>
        <v>0.13263257682530014</v>
      </c>
    </row>
    <row r="226" spans="1:3" x14ac:dyDescent="0.45">
      <c r="A226">
        <f>'Second Order V3'!A231</f>
        <v>1.1200000000000001</v>
      </c>
      <c r="B226">
        <f>'Second Order V3'!$P231</f>
        <v>3.2910902327660599E-2</v>
      </c>
      <c r="C226">
        <f>'Second Order V3'!$Q231</f>
        <v>0.13256757827189131</v>
      </c>
    </row>
    <row r="227" spans="1:3" x14ac:dyDescent="0.45">
      <c r="A227">
        <f>'Second Order V3'!A232</f>
        <v>1.125</v>
      </c>
      <c r="B227">
        <f>'Second Order V3'!$P232</f>
        <v>3.2814943116344295E-2</v>
      </c>
      <c r="C227">
        <f>'Second Order V3'!$Q232</f>
        <v>0.13250418453848417</v>
      </c>
    </row>
    <row r="228" spans="1:3" x14ac:dyDescent="0.45">
      <c r="A228">
        <f>'Second Order V3'!A233</f>
        <v>1.1299999999999999</v>
      </c>
      <c r="B228">
        <f>'Second Order V3'!$P233</f>
        <v>3.2719948109379032E-2</v>
      </c>
      <c r="C228">
        <f>'Second Order V3'!$Q233</f>
        <v>0.13244235600193172</v>
      </c>
    </row>
    <row r="229" spans="1:3" x14ac:dyDescent="0.45">
      <c r="A229">
        <f>'Second Order V3'!A234</f>
        <v>1.135</v>
      </c>
      <c r="B229">
        <f>'Second Order V3'!$P234</f>
        <v>3.2625995677286176E-2</v>
      </c>
      <c r="C229">
        <f>'Second Order V3'!$Q234</f>
        <v>0.13238205401738587</v>
      </c>
    </row>
    <row r="230" spans="1:3" x14ac:dyDescent="0.45">
      <c r="A230">
        <f>'Second Order V3'!A235</f>
        <v>1.1399999999999999</v>
      </c>
      <c r="B230">
        <f>'Second Order V3'!$P235</f>
        <v>3.2533158992191877E-2</v>
      </c>
      <c r="C230">
        <f>'Second Order V3'!$Q235</f>
        <v>0.13232324089414335</v>
      </c>
    </row>
    <row r="231" spans="1:3" x14ac:dyDescent="0.45">
      <c r="A231">
        <f>'Second Order V3'!A236</f>
        <v>1.145</v>
      </c>
      <c r="B231">
        <f>'Second Order V3'!$P236</f>
        <v>3.2441506184767044E-2</v>
      </c>
      <c r="C231">
        <f>'Second Order V3'!$Q236</f>
        <v>0.1322658798720876</v>
      </c>
    </row>
    <row r="232" spans="1:3" x14ac:dyDescent="0.45">
      <c r="A232">
        <f>'Second Order V3'!A237</f>
        <v>1.1499999999999999</v>
      </c>
      <c r="B232">
        <f>'Second Order V3'!$P237</f>
        <v>3.2351100500168206E-2</v>
      </c>
      <c r="C232">
        <f>'Second Order V3'!$Q237</f>
        <v>0.13220993509871251</v>
      </c>
    </row>
    <row r="233" spans="1:3" x14ac:dyDescent="0.45">
      <c r="A233">
        <f>'Second Order V3'!A238</f>
        <v>1.155</v>
      </c>
      <c r="B233">
        <f>'Second Order V3'!$P238</f>
        <v>3.2262000452821932E-2</v>
      </c>
      <c r="C233">
        <f>'Second Order V3'!$Q238</f>
        <v>0.13215537160671362</v>
      </c>
    </row>
    <row r="234" spans="1:3" x14ac:dyDescent="0.45">
      <c r="A234">
        <f>'Second Order V3'!A239</f>
        <v>1.1599999999999999</v>
      </c>
      <c r="B234">
        <f>'Second Order V3'!$P239</f>
        <v>3.2174259979905084E-2</v>
      </c>
      <c r="C234">
        <f>'Second Order V3'!$Q239</f>
        <v>0.13210215529213223</v>
      </c>
    </row>
    <row r="235" spans="1:3" x14ac:dyDescent="0.45">
      <c r="A235">
        <f>'Second Order V3'!A240</f>
        <v>1.165</v>
      </c>
      <c r="B235">
        <f>'Second Order V3'!$P240</f>
        <v>3.2087928593381748E-2</v>
      </c>
      <c r="C235">
        <f>'Second Order V3'!$Q240</f>
        <v>0.13205025289303937</v>
      </c>
    </row>
    <row r="236" spans="1:3" x14ac:dyDescent="0.45">
      <c r="A236">
        <f>'Second Order V3'!A241</f>
        <v>1.17</v>
      </c>
      <c r="B236">
        <f>'Second Order V3'!$P241</f>
        <v>3.2003051530466578E-2</v>
      </c>
      <c r="C236">
        <f>'Second Order V3'!$Q241</f>
        <v>0.13199963196874609</v>
      </c>
    </row>
    <row r="237" spans="1:3" x14ac:dyDescent="0.45">
      <c r="A237">
        <f>'Second Order V3'!A242</f>
        <v>1.175</v>
      </c>
      <c r="B237">
        <f>'Second Order V3'!$P242</f>
        <v>3.1919669902392825E-2</v>
      </c>
      <c r="C237">
        <f>'Second Order V3'!$Q242</f>
        <v>0.13195026087952677</v>
      </c>
    </row>
    <row r="238" spans="1:3" x14ac:dyDescent="0.45">
      <c r="A238">
        <f>'Second Order V3'!A243</f>
        <v>1.18</v>
      </c>
      <c r="B238">
        <f>'Second Order V3'!$P243</f>
        <v>3.1837820841371073E-2</v>
      </c>
      <c r="C238">
        <f>'Second Order V3'!$Q243</f>
        <v>0.13190210876684355</v>
      </c>
    </row>
    <row r="239" spans="1:3" x14ac:dyDescent="0.45">
      <c r="A239">
        <f>'Second Order V3'!A244</f>
        <v>1.1850000000000001</v>
      </c>
      <c r="B239">
        <f>'Second Order V3'!$P244</f>
        <v>3.1757537645633271E-2</v>
      </c>
      <c r="C239">
        <f>'Second Order V3'!$Q244</f>
        <v>0.13185514553405853</v>
      </c>
    </row>
    <row r="240" spans="1:3" x14ac:dyDescent="0.45">
      <c r="A240">
        <f>'Second Order V3'!A245</f>
        <v>1.19</v>
      </c>
      <c r="B240">
        <f>'Second Order V3'!$P245</f>
        <v>3.1678849922463753E-2</v>
      </c>
      <c r="C240">
        <f>'Second Order V3'!$Q245</f>
        <v>0.13180934182762236</v>
      </c>
    </row>
    <row r="241" spans="1:3" x14ac:dyDescent="0.45">
      <c r="A241">
        <f>'Second Order V3'!A246</f>
        <v>1.1950000000000001</v>
      </c>
      <c r="B241">
        <f>'Second Order V3'!$P246</f>
        <v>3.1601783729126573E-2</v>
      </c>
      <c r="C241">
        <f>'Second Order V3'!$Q246</f>
        <v>0.13176466901872755</v>
      </c>
    </row>
    <row r="242" spans="1:3" x14ac:dyDescent="0.45">
      <c r="A242">
        <f>'Second Order V3'!A247</f>
        <v>1.2</v>
      </c>
      <c r="B242">
        <f>'Second Order V3'!$P247</f>
        <v>3.1526361711606027E-2</v>
      </c>
      <c r="C242">
        <f>'Second Order V3'!$Q247</f>
        <v>0.1317210991854143</v>
      </c>
    </row>
    <row r="243" spans="1:3" x14ac:dyDescent="0.45">
      <c r="A243">
        <f>'Second Order V3'!A248</f>
        <v>1.2050000000000001</v>
      </c>
      <c r="B243">
        <f>'Second Order V3'!$P248</f>
        <v>3.1452603241083524E-2</v>
      </c>
      <c r="C243">
        <f>'Second Order V3'!$Q248</f>
        <v>0.13167860509511845</v>
      </c>
    </row>
    <row r="244" spans="1:3" x14ac:dyDescent="0.45">
      <c r="A244">
        <f>'Second Order V3'!A249</f>
        <v>1.21</v>
      </c>
      <c r="B244">
        <f>'Second Order V3'!$P249</f>
        <v>3.138052454808124E-2</v>
      </c>
      <c r="C244">
        <f>'Second Order V3'!$Q249</f>
        <v>0.13163716018765026</v>
      </c>
    </row>
    <row r="245" spans="1:3" x14ac:dyDescent="0.45">
      <c r="A245">
        <f>'Second Order V3'!A250</f>
        <v>1.2150000000000001</v>
      </c>
      <c r="B245">
        <f>'Second Order V3'!$P250</f>
        <v>3.1310138854209316E-2</v>
      </c>
      <c r="C245">
        <f>'Second Order V3'!$Q250</f>
        <v>0.1315967385585935</v>
      </c>
    </row>
    <row r="246" spans="1:3" x14ac:dyDescent="0.45">
      <c r="A246">
        <f>'Second Order V3'!A251</f>
        <v>1.22</v>
      </c>
      <c r="B246">
        <f>'Second Order V3'!$P251</f>
        <v>3.1241456501459389E-2</v>
      </c>
      <c r="C246">
        <f>'Second Order V3'!$Q251</f>
        <v>0.13155731494311407</v>
      </c>
    </row>
    <row r="247" spans="1:3" x14ac:dyDescent="0.45">
      <c r="A247">
        <f>'Second Order V3'!A252</f>
        <v>1.2250000000000001</v>
      </c>
      <c r="B247">
        <f>'Second Order V3'!$P252</f>
        <v>3.1174485078993633E-2</v>
      </c>
      <c r="C247">
        <f>'Second Order V3'!$Q252</f>
        <v>0.13151886470016899</v>
      </c>
    </row>
    <row r="248" spans="1:3" x14ac:dyDescent="0.45">
      <c r="A248">
        <f>'Second Order V3'!A253</f>
        <v>1.23</v>
      </c>
      <c r="B248">
        <f>'Second Order V3'!$P253</f>
        <v>3.110922954738396E-2</v>
      </c>
      <c r="C248">
        <f>'Second Order V3'!$Q253</f>
        <v>0.13148136379710473</v>
      </c>
    </row>
    <row r="249" spans="1:3" x14ac:dyDescent="0.45">
      <c r="A249">
        <f>'Second Order V3'!A254</f>
        <v>1.2350000000000001</v>
      </c>
      <c r="B249">
        <f>'Second Order V3'!$P254</f>
        <v>3.1045692360261876E-2</v>
      </c>
      <c r="C249">
        <f>'Second Order V3'!$Q254</f>
        <v>0.13144478879463617</v>
      </c>
    </row>
    <row r="250" spans="1:3" x14ac:dyDescent="0.45">
      <c r="A250">
        <f>'Second Order V3'!A255</f>
        <v>1.24</v>
      </c>
      <c r="B250">
        <f>'Second Order V3'!$P255</f>
        <v>3.0983873583344521E-2</v>
      </c>
      <c r="C250">
        <f>'Second Order V3'!$Q255</f>
        <v>0.13140911683219614</v>
      </c>
    </row>
    <row r="251" spans="1:3" x14ac:dyDescent="0.45">
      <c r="A251">
        <f>'Second Order V3'!A256</f>
        <v>1.2450000000000001</v>
      </c>
      <c r="B251">
        <f>'Second Order V3'!$P256</f>
        <v>3.0923771010807871E-2</v>
      </c>
      <c r="C251">
        <f>'Second Order V3'!$Q256</f>
        <v>0.13137432561364687</v>
      </c>
    </row>
    <row r="252" spans="1:3" x14ac:dyDescent="0.45">
      <c r="A252">
        <f>'Second Order V3'!A257</f>
        <v>1.25</v>
      </c>
      <c r="B252">
        <f>'Second Order V3'!$P257</f>
        <v>3.0865380278982904E-2</v>
      </c>
      <c r="C252">
        <f>'Second Order V3'!$Q257</f>
        <v>0.13134039339334419</v>
      </c>
    </row>
    <row r="253" spans="1:3" x14ac:dyDescent="0.45">
      <c r="A253">
        <f>'Second Order V3'!A258</f>
        <v>1.2549999999999999</v>
      </c>
      <c r="B253">
        <f>'Second Order V3'!$P258</f>
        <v>3.0808694977354972E-2</v>
      </c>
      <c r="C253">
        <f>'Second Order V3'!$Q258</f>
        <v>0.13130729896254589</v>
      </c>
    </row>
    <row r="254" spans="1:3" x14ac:dyDescent="0.45">
      <c r="A254">
        <f>'Second Order V3'!A259</f>
        <v>1.26</v>
      </c>
      <c r="B254">
        <f>'Second Order V3'!$P259</f>
        <v>3.0753706756851767E-2</v>
      </c>
      <c r="C254">
        <f>'Second Order V3'!$Q259</f>
        <v>0.13127502163615537</v>
      </c>
    </row>
    <row r="255" spans="1:3" x14ac:dyDescent="0.45">
      <c r="A255">
        <f>'Second Order V3'!A260</f>
        <v>1.2649999999999999</v>
      </c>
      <c r="B255">
        <f>'Second Order V3'!$P260</f>
        <v>3.0700405435408737E-2</v>
      </c>
      <c r="C255">
        <f>'Second Order V3'!$Q260</f>
        <v>0.13124354123979293</v>
      </c>
    </row>
    <row r="256" spans="1:3" x14ac:dyDescent="0.45">
      <c r="A256">
        <f>'Second Order V3'!A261</f>
        <v>1.27</v>
      </c>
      <c r="B256">
        <f>'Second Order V3'!$P261</f>
        <v>3.0648779100805768E-2</v>
      </c>
      <c r="C256">
        <f>'Second Order V3'!$Q261</f>
        <v>0.13121283809718604</v>
      </c>
    </row>
    <row r="257" spans="1:3" x14ac:dyDescent="0.45">
      <c r="A257">
        <f>'Second Order V3'!A262</f>
        <v>1.2749999999999999</v>
      </c>
      <c r="B257">
        <f>'Second Order V3'!$P262</f>
        <v>3.0598814210772166E-2</v>
      </c>
      <c r="C257">
        <f>'Second Order V3'!$Q262</f>
        <v>0.13118289301787112</v>
      </c>
    </row>
    <row r="258" spans="1:3" x14ac:dyDescent="0.45">
      <c r="A258">
        <f>'Second Order V3'!A263</f>
        <v>1.28</v>
      </c>
      <c r="B258">
        <f>'Second Order V3'!$P263</f>
        <v>3.0550495690361348E-2</v>
      </c>
      <c r="C258">
        <f>'Second Order V3'!$Q263</f>
        <v>0.1311536872851988</v>
      </c>
    </row>
    <row r="259" spans="1:3" x14ac:dyDescent="0.45">
      <c r="A259">
        <f>'Second Order V3'!A264</f>
        <v>1.2849999999999999</v>
      </c>
      <c r="B259">
        <f>'Second Order V3'!$P264</f>
        <v>3.0503807026599425E-2</v>
      </c>
      <c r="C259">
        <f>'Second Order V3'!$Q264</f>
        <v>0.13112520264463545</v>
      </c>
    </row>
    <row r="260" spans="1:3" x14ac:dyDescent="0.45">
      <c r="A260">
        <f>'Second Order V3'!A265</f>
        <v>1.29</v>
      </c>
      <c r="B260">
        <f>'Second Order V3'!$P265</f>
        <v>3.0458730360416172E-2</v>
      </c>
      <c r="C260">
        <f>'Second Order V3'!$Q265</f>
        <v>0.13109742129235347</v>
      </c>
    </row>
    <row r="261" spans="1:3" x14ac:dyDescent="0.45">
      <c r="A261">
        <f>'Second Order V3'!A266</f>
        <v>1.2949999999999999</v>
      </c>
      <c r="B261">
        <f>'Second Order V3'!$P266</f>
        <v>3.0415246575869234E-2</v>
      </c>
      <c r="C261">
        <f>'Second Order V3'!$Q266</f>
        <v>0.13107032586410328</v>
      </c>
    </row>
    <row r="262" spans="1:3" x14ac:dyDescent="0.45">
      <c r="A262">
        <f>'Second Order V3'!A267</f>
        <v>1.3</v>
      </c>
      <c r="B262">
        <f>'Second Order V3'!$P267</f>
        <v>3.0373335386675915E-2</v>
      </c>
      <c r="C262">
        <f>'Second Order V3'!$Q267</f>
        <v>0.13104389942436021</v>
      </c>
    </row>
    <row r="263" spans="1:3" x14ac:dyDescent="0.45">
      <c r="A263">
        <f>'Second Order V3'!A268</f>
        <v>1.3049999999999999</v>
      </c>
      <c r="B263">
        <f>'Second Order V3'!$P268</f>
        <v>3.0332975420069658E-2</v>
      </c>
      <c r="C263">
        <f>'Second Order V3'!$Q268</f>
        <v>0.13101812545573918</v>
      </c>
    </row>
    <row r="264" spans="1:3" x14ac:dyDescent="0.45">
      <c r="A264">
        <f>'Second Order V3'!A269</f>
        <v>1.31</v>
      </c>
      <c r="B264">
        <f>'Second Order V3'!$P269</f>
        <v>3.0294144298000966E-2</v>
      </c>
      <c r="C264">
        <f>'Second Order V3'!$Q269</f>
        <v>0.13099298784867078</v>
      </c>
    </row>
    <row r="265" spans="1:3" x14ac:dyDescent="0.45">
      <c r="A265">
        <f>'Second Order V3'!A270</f>
        <v>1.3149999999999999</v>
      </c>
      <c r="B265">
        <f>'Second Order V3'!$P270</f>
        <v>3.0256818715705139E-2</v>
      </c>
      <c r="C265">
        <f>'Second Order V3'!$Q270</f>
        <v>0.13096847089133229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BE2F22448964A80482586689DB88E" ma:contentTypeVersion="11" ma:contentTypeDescription="Create a new document." ma:contentTypeScope="" ma:versionID="9c3490e2e09771db8de0696d0f72583b">
  <xsd:schema xmlns:xsd="http://www.w3.org/2001/XMLSchema" xmlns:xs="http://www.w3.org/2001/XMLSchema" xmlns:p="http://schemas.microsoft.com/office/2006/metadata/properties" xmlns:ns2="9e6ba65f-8721-4074-b199-fd478b67dab4" xmlns:ns3="20efa537-de19-4a3d-ad17-7cd27164d04c" targetNamespace="http://schemas.microsoft.com/office/2006/metadata/properties" ma:root="true" ma:fieldsID="0be447a2d940664075e122f07f1ca9c6" ns2:_="" ns3:_="">
    <xsd:import namespace="9e6ba65f-8721-4074-b199-fd478b67dab4"/>
    <xsd:import namespace="20efa537-de19-4a3d-ad17-7cd27164d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ba65f-8721-4074-b199-fd478b67da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098e9ab0-fafa-442d-a8b4-a7f3d9cdd5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fa537-de19-4a3d-ad17-7cd27164d04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633c37-d626-4f08-8883-dec1b221df59}" ma:internalName="TaxCatchAll" ma:showField="CatchAllData" ma:web="20efa537-de19-4a3d-ad17-7cd27164d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0efa537-de19-4a3d-ad17-7cd27164d04c" xsi:nil="true"/>
    <lcf76f155ced4ddcb4097134ff3c332f xmlns="9e6ba65f-8721-4074-b199-fd478b67dab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B8B6EDF-291B-4E29-BDFD-8798494AB2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C5218E-8F52-4217-96B7-64A17E9595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6ba65f-8721-4074-b199-fd478b67dab4"/>
    <ds:schemaRef ds:uri="20efa537-de19-4a3d-ad17-7cd27164d0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272B7A-2D62-4A9C-8908-72EB977BCA9A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office/infopath/2007/PartnerControls"/>
    <ds:schemaRef ds:uri="9e6ba65f-8721-4074-b199-fd478b67dab4"/>
    <ds:schemaRef ds:uri="http://purl.org/dc/dcmitype/"/>
    <ds:schemaRef ds:uri="http://schemas.microsoft.com/office/2006/metadata/properties"/>
    <ds:schemaRef ds:uri="http://schemas.openxmlformats.org/package/2006/metadata/core-properties"/>
    <ds:schemaRef ds:uri="20efa537-de19-4a3d-ad17-7cd27164d04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19</vt:i4>
      </vt:variant>
    </vt:vector>
  </HeadingPairs>
  <TitlesOfParts>
    <vt:vector size="21" baseType="lpstr">
      <vt:lpstr>Second Order V3</vt:lpstr>
      <vt:lpstr>csv_second_order</vt:lpstr>
      <vt:lpstr>DeltaThetaDeg</vt:lpstr>
      <vt:lpstr>EMT_simulation</vt:lpstr>
      <vt:lpstr>Marge_basse</vt:lpstr>
      <vt:lpstr>Marge_haute</vt:lpstr>
      <vt:lpstr>Num</vt:lpstr>
      <vt:lpstr>P0</vt:lpstr>
      <vt:lpstr>Ppeak</vt:lpstr>
      <vt:lpstr>SCR</vt:lpstr>
      <vt:lpstr>Sigma</vt:lpstr>
      <vt:lpstr>Tunnel</vt:lpstr>
      <vt:lpstr>Wd</vt:lpstr>
      <vt:lpstr>Wdmax</vt:lpstr>
      <vt:lpstr>Wdmin</vt:lpstr>
      <vt:lpstr>Wn</vt:lpstr>
      <vt:lpstr>Wnmax</vt:lpstr>
      <vt:lpstr>Wnmin</vt:lpstr>
      <vt:lpstr>Xi</vt:lpstr>
      <vt:lpstr>Ximax</vt:lpstr>
      <vt:lpstr>Ximin</vt:lpstr>
    </vt:vector>
  </TitlesOfParts>
  <Manager/>
  <Company>RTE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PREVOST Thibault</dc:creator>
  <cp:keywords/>
  <dc:description/>
  <cp:lastModifiedBy>Shan, Wei Wei</cp:lastModifiedBy>
  <cp:revision/>
  <dcterms:created xsi:type="dcterms:W3CDTF">2025-02-19T13:26:37Z</dcterms:created>
  <dcterms:modified xsi:type="dcterms:W3CDTF">2025-12-19T10:30:05Z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0x010100BD0BE2F22448964A80482586689DB88E</vt:lpwstr>
  </property>
  <property fmtid="{D5CDD505-2E9C-101B-9397-08002B2CF9AE}" pid="3" name="MediaServiceImageTags">
    <vt:lpwstr/>
  </property>
</Properties>
</file>